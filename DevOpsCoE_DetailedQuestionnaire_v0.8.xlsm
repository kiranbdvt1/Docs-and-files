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Backup\Backup\Artefacts_TTG\DevOps-Insurance\Process\Assessment\Upcoming version\"/>
    </mc:Choice>
  </mc:AlternateContent>
  <bookViews>
    <workbookView xWindow="0" yWindow="465" windowWidth="28800" windowHeight="15945" tabRatio="564"/>
  </bookViews>
  <sheets>
    <sheet name="Q_Stories" sheetId="6" r:id="rId1"/>
    <sheet name="Tables_Activities" sheetId="4" state="hidden" r:id="rId2"/>
    <sheet name="Tables_TechMap" sheetId="5" state="hidden" r:id="rId3"/>
  </sheets>
  <definedNames>
    <definedName name="_xlnm._FilterDatabase" localSheetId="0" hidden="1">Q_Stories!$E$4:$Q$4</definedName>
    <definedName name="_xlnm._FilterDatabase" localSheetId="2" hidden="1">Tables_TechMap!$C$4:$E$13</definedName>
    <definedName name="Category">Tables_TechMap!$A$5:$A$37</definedName>
    <definedName name="I01_Doc_generate">Table2[I01_Doc_generate]</definedName>
    <definedName name="I02_Workflow_engine">Table3[I02_Workflow_engine]</definedName>
    <definedName name="I03_Agile_tracker">Table4[I03_Agile_tracker]</definedName>
    <definedName name="I04_Chat">Table5[I04_Chat]</definedName>
    <definedName name="I13_Datavisualization">Table14[I13_Datavisualization]</definedName>
    <definedName name="I14_Release_mgmt">Table15[I14_Release_mgmt]</definedName>
    <definedName name="I17_Testauto_functional">Table18[I17_Testauto_functional]</definedName>
    <definedName name="I18_Testauto_perf">Table19[I18_Testauto_perf]</definedName>
    <definedName name="I19_Testauto_security">Tables_TechMap!$BV$5:$BV$10</definedName>
    <definedName name="I20_Testauto_UIUXmobile">Table21[I20_Testauto_UIUXmobile]</definedName>
    <definedName name="I21_Testdesign_TDDBDD">Table22[I21_Testdesign_TDDBDD]</definedName>
    <definedName name="I28_Service_workflow">Table29[I28_Service_workflow]</definedName>
    <definedName name="M05_Editor_IDE">Table6[M05_Editor_IDE]</definedName>
    <definedName name="M06_Autocoding">Table7[M06_Autocoding]</definedName>
    <definedName name="M07_Code_quality">Table8[M07_Code_quality]</definedName>
    <definedName name="M08_Continuous_integration">Table9[M08_Continuous_integration]</definedName>
    <definedName name="M09_Continuous_deploy">Table10[M09_Continous_deploy]</definedName>
    <definedName name="M10_Sourcecode_repository">Tables_TechMap!$AL$6:$AL$13</definedName>
    <definedName name="M11_Binary_repository">Table12[M11_Binary_repository]</definedName>
    <definedName name="M12_Build_package">Table13[M12_Build_package]</definedName>
    <definedName name="M15_InVM_container_monitoring">Table16[M15_InVM_container_monitoring]</definedName>
    <definedName name="M16_Cluster_monitoring">Table17[M16_Cluster_monitoring]</definedName>
    <definedName name="M22_Env_provision">Table23[M22_Env_provision]</definedName>
    <definedName name="M23_VM_VMclustering">Table24[M23_VM_VMclustering]</definedName>
    <definedName name="M24_HCI">Table25[M24_HCI]</definedName>
    <definedName name="M25_Cloud_mgmt">Table26[M25_Cloud_mgmt]</definedName>
    <definedName name="M26_Container_clustering">Table27[M26_Container_clustering]</definedName>
    <definedName name="M27_Infra_consolidated">Table28[M27_Infra_consolidated]</definedName>
    <definedName name="M29_Bot_AI">Table30[M29_Bot_AI]</definedName>
    <definedName name="M30_Database_mgmt">Tables_TechMap!$DN$5:$DN$13</definedName>
    <definedName name="M31_BigData_mgmt">Table32[M31_BigData_mgmt]</definedName>
    <definedName name="M32_IntelIT_automate">Table33[M32_IntelIT_automate]</definedName>
    <definedName name="M33_Incident_autoresolve">Table34[M33_Incident_autoresolve]</definedName>
  </definedNames>
  <calcPr calcId="152511"/>
</workbook>
</file>

<file path=xl/calcChain.xml><?xml version="1.0" encoding="utf-8"?>
<calcChain xmlns="http://schemas.openxmlformats.org/spreadsheetml/2006/main">
  <c r="E162" i="6" l="1"/>
  <c r="E160" i="6"/>
  <c r="E159" i="6"/>
  <c r="E158" i="6"/>
  <c r="E157" i="6"/>
  <c r="E156" i="6"/>
  <c r="E155" i="6"/>
  <c r="E154" i="6"/>
  <c r="E153" i="6"/>
  <c r="E152" i="6"/>
  <c r="E151" i="6"/>
  <c r="E150" i="6"/>
  <c r="E148" i="6"/>
  <c r="E147" i="6"/>
  <c r="E145" i="6"/>
  <c r="E144" i="6"/>
  <c r="E143" i="6"/>
  <c r="E142" i="6"/>
  <c r="E141" i="6"/>
  <c r="E140" i="6"/>
  <c r="E139" i="6"/>
  <c r="E138" i="6"/>
  <c r="E137" i="6"/>
  <c r="E136" i="6"/>
  <c r="E134" i="6"/>
  <c r="E132" i="6"/>
  <c r="E131" i="6"/>
  <c r="E130" i="6"/>
  <c r="E129" i="6"/>
  <c r="E128" i="6"/>
  <c r="E127" i="6"/>
  <c r="E126" i="6"/>
  <c r="E125" i="6"/>
  <c r="E124" i="6"/>
  <c r="E123" i="6"/>
  <c r="E121" i="6"/>
  <c r="E119" i="6"/>
  <c r="E118" i="6"/>
  <c r="E117" i="6"/>
  <c r="E114" i="6"/>
  <c r="E113" i="6"/>
  <c r="E112" i="6"/>
  <c r="E111" i="6"/>
  <c r="E109" i="6"/>
  <c r="E108" i="6"/>
  <c r="E107" i="6"/>
  <c r="E105" i="6"/>
  <c r="E104" i="6"/>
  <c r="E102" i="6"/>
  <c r="E101" i="6"/>
  <c r="E99" i="6"/>
  <c r="E98" i="6"/>
  <c r="E96" i="6"/>
  <c r="E95" i="6"/>
  <c r="E94" i="6"/>
  <c r="E93" i="6"/>
  <c r="E92" i="6"/>
  <c r="E91" i="6"/>
  <c r="E89" i="6"/>
  <c r="E87" i="6"/>
  <c r="E86" i="6"/>
  <c r="E85" i="6"/>
  <c r="E84" i="6"/>
  <c r="E83" i="6"/>
  <c r="E79" i="6"/>
  <c r="E78" i="6"/>
  <c r="E77" i="6"/>
  <c r="E75" i="6"/>
  <c r="E74" i="6"/>
  <c r="E73" i="6"/>
  <c r="E72" i="6"/>
  <c r="E71" i="6"/>
  <c r="E70" i="6"/>
  <c r="E69" i="6"/>
  <c r="E68" i="6"/>
  <c r="E66" i="6"/>
  <c r="E65" i="6"/>
  <c r="E64" i="6"/>
  <c r="E62" i="6"/>
  <c r="E59" i="6"/>
  <c r="E57" i="6"/>
  <c r="E56" i="6"/>
  <c r="E55" i="6"/>
  <c r="E54" i="6"/>
  <c r="E53" i="6"/>
  <c r="E52" i="6"/>
  <c r="E49" i="6"/>
  <c r="E47" i="6"/>
  <c r="E46" i="6"/>
  <c r="E45" i="6"/>
  <c r="E43" i="6"/>
  <c r="E42" i="6"/>
  <c r="E41" i="6"/>
  <c r="E40" i="6"/>
  <c r="E39" i="6"/>
  <c r="E38" i="6"/>
  <c r="E37" i="6"/>
  <c r="E36" i="6"/>
  <c r="E35" i="6"/>
  <c r="E34" i="6"/>
  <c r="E33" i="6"/>
  <c r="E32" i="6"/>
  <c r="E31" i="6"/>
  <c r="E30" i="6"/>
  <c r="E29" i="6"/>
  <c r="E28" i="6"/>
  <c r="E26" i="6"/>
  <c r="E25" i="6"/>
  <c r="E23" i="6"/>
  <c r="E21" i="6"/>
  <c r="E19" i="6"/>
  <c r="E18" i="6"/>
  <c r="F15" i="6"/>
  <c r="K162" i="6"/>
  <c r="J162" i="6"/>
  <c r="I162" i="6"/>
  <c r="H162" i="6"/>
  <c r="K161" i="6"/>
  <c r="J161" i="6"/>
  <c r="H146" i="6"/>
  <c r="H24" i="6"/>
  <c r="H13" i="6"/>
  <c r="H15" i="6"/>
  <c r="H7" i="6"/>
  <c r="H8" i="6"/>
  <c r="H11" i="6"/>
  <c r="H9" i="6"/>
  <c r="I11" i="6"/>
  <c r="I15" i="6"/>
  <c r="H16" i="6"/>
  <c r="H17" i="6"/>
  <c r="H20" i="6"/>
  <c r="I20" i="6"/>
  <c r="J20" i="6"/>
  <c r="H22" i="6"/>
  <c r="I24" i="6"/>
  <c r="H120" i="6"/>
  <c r="H27" i="6"/>
  <c r="I27" i="6"/>
  <c r="I120" i="6"/>
  <c r="H133" i="6"/>
  <c r="I146" i="6"/>
  <c r="J146" i="6"/>
  <c r="H122" i="6"/>
  <c r="I122" i="6"/>
  <c r="H135" i="6"/>
  <c r="K146" i="6"/>
  <c r="H149" i="6"/>
  <c r="I149" i="6"/>
  <c r="I161" i="6"/>
  <c r="H161" i="6"/>
  <c r="K160" i="6"/>
  <c r="J160" i="6"/>
  <c r="I160" i="6"/>
  <c r="H160" i="6"/>
  <c r="I159" i="6"/>
  <c r="H159" i="6"/>
  <c r="H158" i="6"/>
  <c r="I157" i="6"/>
  <c r="H157" i="6"/>
  <c r="I156" i="6"/>
  <c r="H156" i="6"/>
  <c r="I155" i="6"/>
  <c r="H155" i="6"/>
  <c r="H154" i="6"/>
  <c r="H153" i="6"/>
  <c r="H152" i="6"/>
  <c r="H151" i="6"/>
  <c r="H150" i="6"/>
  <c r="H148" i="6"/>
  <c r="I147" i="6"/>
  <c r="H147" i="6"/>
  <c r="J145" i="6"/>
  <c r="I145" i="6"/>
  <c r="H145" i="6"/>
  <c r="H144" i="6"/>
  <c r="H143" i="6"/>
  <c r="H142" i="6"/>
  <c r="H141" i="6"/>
  <c r="H140" i="6"/>
  <c r="H139" i="6"/>
  <c r="H138" i="6"/>
  <c r="H137" i="6"/>
  <c r="H136" i="6"/>
  <c r="H134" i="6"/>
  <c r="I132" i="6"/>
  <c r="H132" i="6"/>
  <c r="I131" i="6"/>
  <c r="H131" i="6"/>
  <c r="I130" i="6"/>
  <c r="H130" i="6"/>
  <c r="I129" i="6"/>
  <c r="H129" i="6"/>
  <c r="I128" i="6"/>
  <c r="H128" i="6"/>
  <c r="I127" i="6"/>
  <c r="H127" i="6"/>
  <c r="J126" i="6"/>
  <c r="I126" i="6"/>
  <c r="H126" i="6"/>
  <c r="I125" i="6"/>
  <c r="H125" i="6"/>
  <c r="I124" i="6"/>
  <c r="H124" i="6"/>
  <c r="I123" i="6"/>
  <c r="H123" i="6"/>
  <c r="I121" i="6"/>
  <c r="H121" i="6"/>
  <c r="K119" i="6"/>
  <c r="J119" i="6"/>
  <c r="I119" i="6"/>
  <c r="H119" i="6"/>
  <c r="I118" i="6"/>
  <c r="H118" i="6"/>
  <c r="I117" i="6"/>
  <c r="H117" i="6"/>
  <c r="H116" i="6"/>
  <c r="H44" i="6"/>
  <c r="H60" i="6"/>
  <c r="I115" i="6"/>
  <c r="H115" i="6"/>
  <c r="H114" i="6"/>
  <c r="H113" i="6"/>
  <c r="H112" i="6"/>
  <c r="H111" i="6"/>
  <c r="I110" i="6"/>
  <c r="H103" i="6"/>
  <c r="H76" i="6"/>
  <c r="H61" i="6"/>
  <c r="I61" i="6"/>
  <c r="J61" i="6"/>
  <c r="H63" i="6"/>
  <c r="I63" i="6"/>
  <c r="H67" i="6"/>
  <c r="I76" i="6"/>
  <c r="J76" i="6"/>
  <c r="H90" i="6"/>
  <c r="I103" i="6"/>
  <c r="J103" i="6"/>
  <c r="K103" i="6"/>
  <c r="H100" i="6"/>
  <c r="I100" i="6"/>
  <c r="H110" i="6"/>
  <c r="I109" i="6"/>
  <c r="H109" i="6"/>
  <c r="L108" i="6"/>
  <c r="K108" i="6"/>
  <c r="J108" i="6"/>
  <c r="I108" i="6"/>
  <c r="H108" i="6"/>
  <c r="H107" i="6"/>
  <c r="I106" i="6"/>
  <c r="H106" i="6"/>
  <c r="I105" i="6"/>
  <c r="H105" i="6"/>
  <c r="K104" i="6"/>
  <c r="J104" i="6"/>
  <c r="I104" i="6"/>
  <c r="H104" i="6"/>
  <c r="H102" i="6"/>
  <c r="I101" i="6"/>
  <c r="H101" i="6"/>
  <c r="J99" i="6"/>
  <c r="I99" i="6"/>
  <c r="H99" i="6"/>
  <c r="I98" i="6"/>
  <c r="H98" i="6"/>
  <c r="H97" i="6"/>
  <c r="K96" i="6"/>
  <c r="J96" i="6"/>
  <c r="I96" i="6"/>
  <c r="H96" i="6"/>
  <c r="K95" i="6"/>
  <c r="J95" i="6"/>
  <c r="I95" i="6"/>
  <c r="H95" i="6"/>
  <c r="H94" i="6"/>
  <c r="H93" i="6"/>
  <c r="J92" i="6"/>
  <c r="I92" i="6"/>
  <c r="H92" i="6"/>
  <c r="J91" i="6"/>
  <c r="I91" i="6"/>
  <c r="H91" i="6"/>
  <c r="H89" i="6"/>
  <c r="I88" i="6"/>
  <c r="H88" i="6"/>
  <c r="H87" i="6"/>
  <c r="I86" i="6"/>
  <c r="H86" i="6"/>
  <c r="I85" i="6"/>
  <c r="H85" i="6"/>
  <c r="I84" i="6"/>
  <c r="H84" i="6"/>
  <c r="J83" i="6"/>
  <c r="I83" i="6"/>
  <c r="H83" i="6"/>
  <c r="J82" i="6"/>
  <c r="I82" i="6"/>
  <c r="H82" i="6"/>
  <c r="H81" i="6"/>
  <c r="I80" i="6"/>
  <c r="H80" i="6"/>
  <c r="H79" i="6"/>
  <c r="H78" i="6"/>
  <c r="H77" i="6"/>
  <c r="H75" i="6"/>
  <c r="H74" i="6"/>
  <c r="H73" i="6"/>
  <c r="H72" i="6"/>
  <c r="H71" i="6"/>
  <c r="H70" i="6"/>
  <c r="H69" i="6"/>
  <c r="H68" i="6"/>
  <c r="H66" i="6"/>
  <c r="H65" i="6"/>
  <c r="H64" i="6"/>
  <c r="J62" i="6"/>
  <c r="I62" i="6"/>
  <c r="H62" i="6"/>
  <c r="H59" i="6"/>
  <c r="H58" i="6"/>
  <c r="H57" i="6"/>
  <c r="H56" i="6"/>
  <c r="H55" i="6"/>
  <c r="H54" i="6"/>
  <c r="H53" i="6"/>
  <c r="H52" i="6"/>
  <c r="H48" i="6"/>
  <c r="I48" i="6"/>
  <c r="J48" i="6"/>
  <c r="K48" i="6"/>
  <c r="H51" i="6"/>
  <c r="H50" i="6"/>
  <c r="H49" i="6"/>
  <c r="H47" i="6"/>
  <c r="H46" i="6"/>
  <c r="H45" i="6"/>
  <c r="H43" i="6"/>
  <c r="H42" i="6"/>
  <c r="H41" i="6"/>
  <c r="J40" i="6"/>
  <c r="I40" i="6"/>
  <c r="H40" i="6"/>
  <c r="H39" i="6"/>
  <c r="H38" i="6"/>
  <c r="H37" i="6"/>
  <c r="I36" i="6"/>
  <c r="H36" i="6"/>
  <c r="H35" i="6"/>
  <c r="H34" i="6"/>
  <c r="H33" i="6"/>
  <c r="H32" i="6"/>
  <c r="H31" i="6"/>
  <c r="I30" i="6"/>
  <c r="H30" i="6"/>
  <c r="H29" i="6"/>
  <c r="H28" i="6"/>
  <c r="I26" i="6"/>
  <c r="H26" i="6"/>
  <c r="H25" i="6"/>
  <c r="I23" i="6"/>
  <c r="H23" i="6"/>
  <c r="H21" i="6"/>
  <c r="H19" i="6"/>
  <c r="H18" i="6"/>
  <c r="H14" i="6"/>
  <c r="I12" i="6"/>
  <c r="H10" i="6"/>
  <c r="H12" i="6"/>
</calcChain>
</file>

<file path=xl/comments1.xml><?xml version="1.0" encoding="utf-8"?>
<comments xmlns="http://schemas.openxmlformats.org/spreadsheetml/2006/main">
  <authors>
    <author>Manas  Shome</author>
  </authors>
  <commentList>
    <comment ref="C4" authorId="0" shapeId="0">
      <text>
        <r>
          <rPr>
            <b/>
            <sz val="9"/>
            <color indexed="81"/>
            <rFont val="Tahoma"/>
            <family val="2"/>
          </rPr>
          <t xml:space="preserve">A - </t>
        </r>
        <r>
          <rPr>
            <sz val="9"/>
            <color indexed="81"/>
            <rFont val="Tahoma"/>
            <family val="2"/>
          </rPr>
          <t>configurable with lots of plug-ins</t>
        </r>
        <r>
          <rPr>
            <b/>
            <sz val="9"/>
            <color indexed="81"/>
            <rFont val="Tahoma"/>
            <family val="2"/>
          </rPr>
          <t xml:space="preserve">
B - </t>
        </r>
        <r>
          <rPr>
            <sz val="9"/>
            <color indexed="81"/>
            <rFont val="Tahoma"/>
            <family val="2"/>
          </rPr>
          <t>lots of plug-ins available</t>
        </r>
        <r>
          <rPr>
            <b/>
            <sz val="9"/>
            <color indexed="81"/>
            <rFont val="Tahoma"/>
            <family val="2"/>
          </rPr>
          <t xml:space="preserve">
C -</t>
        </r>
        <r>
          <rPr>
            <sz val="9"/>
            <color indexed="81"/>
            <rFont val="Tahoma"/>
            <family val="2"/>
          </rPr>
          <t xml:space="preserve"> limited or no plug-ins</t>
        </r>
        <r>
          <rPr>
            <b/>
            <sz val="9"/>
            <color indexed="81"/>
            <rFont val="Tahoma"/>
            <family val="2"/>
          </rPr>
          <t xml:space="preserve">
D -</t>
        </r>
        <r>
          <rPr>
            <sz val="9"/>
            <color indexed="81"/>
            <rFont val="Tahoma"/>
            <family val="2"/>
          </rPr>
          <t xml:space="preserve"> not modular</t>
        </r>
      </text>
    </comment>
    <comment ref="D4" authorId="0" shapeId="0">
      <text>
        <r>
          <rPr>
            <b/>
            <sz val="9"/>
            <color indexed="81"/>
            <rFont val="Tahoma"/>
            <family val="2"/>
          </rPr>
          <t>A -</t>
        </r>
        <r>
          <rPr>
            <sz val="9"/>
            <color indexed="81"/>
            <rFont val="Tahoma"/>
            <family val="2"/>
          </rPr>
          <t xml:space="preserve"> Adaptive</t>
        </r>
        <r>
          <rPr>
            <b/>
            <sz val="9"/>
            <color indexed="81"/>
            <rFont val="Tahoma"/>
            <family val="2"/>
          </rPr>
          <t xml:space="preserve">
B - </t>
        </r>
        <r>
          <rPr>
            <sz val="9"/>
            <color indexed="81"/>
            <rFont val="Tahoma"/>
            <family val="2"/>
          </rPr>
          <t>Mix of adaptive and passive</t>
        </r>
        <r>
          <rPr>
            <b/>
            <sz val="9"/>
            <color indexed="81"/>
            <rFont val="Tahoma"/>
            <family val="2"/>
          </rPr>
          <t xml:space="preserve">
C - </t>
        </r>
        <r>
          <rPr>
            <sz val="9"/>
            <color indexed="81"/>
            <rFont val="Tahoma"/>
            <family val="2"/>
          </rPr>
          <t>Passive</t>
        </r>
        <r>
          <rPr>
            <b/>
            <sz val="9"/>
            <color indexed="81"/>
            <rFont val="Tahoma"/>
            <family val="2"/>
          </rPr>
          <t xml:space="preserve">
D - </t>
        </r>
        <r>
          <rPr>
            <sz val="9"/>
            <color indexed="81"/>
            <rFont val="Tahoma"/>
            <family val="2"/>
          </rPr>
          <t>No orchestration</t>
        </r>
      </text>
    </comment>
    <comment ref="E4" authorId="0" shapeId="0">
      <text>
        <r>
          <rPr>
            <b/>
            <sz val="9"/>
            <color indexed="81"/>
            <rFont val="Tahoma"/>
            <family val="2"/>
          </rPr>
          <t xml:space="preserve">Enables:
A - </t>
        </r>
        <r>
          <rPr>
            <sz val="9"/>
            <color indexed="81"/>
            <rFont val="Tahoma"/>
            <family val="2"/>
          </rPr>
          <t>Configurable+Codable</t>
        </r>
        <r>
          <rPr>
            <b/>
            <sz val="9"/>
            <color indexed="81"/>
            <rFont val="Tahoma"/>
            <family val="2"/>
          </rPr>
          <t xml:space="preserve">
B - </t>
        </r>
        <r>
          <rPr>
            <sz val="9"/>
            <color indexed="81"/>
            <rFont val="Tahoma"/>
            <family val="2"/>
          </rPr>
          <t>Primarily codable</t>
        </r>
        <r>
          <rPr>
            <b/>
            <sz val="9"/>
            <color indexed="81"/>
            <rFont val="Tahoma"/>
            <family val="2"/>
          </rPr>
          <t xml:space="preserve">
C - </t>
        </r>
        <r>
          <rPr>
            <sz val="9"/>
            <color indexed="81"/>
            <rFont val="Tahoma"/>
            <family val="2"/>
          </rPr>
          <t>Primarily configurable</t>
        </r>
        <r>
          <rPr>
            <b/>
            <sz val="9"/>
            <color indexed="81"/>
            <rFont val="Tahoma"/>
            <family val="2"/>
          </rPr>
          <t xml:space="preserve">
D - </t>
        </r>
        <r>
          <rPr>
            <sz val="9"/>
            <color indexed="81"/>
            <rFont val="Tahoma"/>
            <family val="2"/>
          </rPr>
          <t xml:space="preserve">No abstraction
</t>
        </r>
        <r>
          <rPr>
            <b/>
            <sz val="9"/>
            <color indexed="81"/>
            <rFont val="Tahoma"/>
            <family val="2"/>
          </rPr>
          <t>E -</t>
        </r>
        <r>
          <rPr>
            <sz val="9"/>
            <color indexed="81"/>
            <rFont val="Tahoma"/>
            <family val="2"/>
          </rPr>
          <t xml:space="preserve"> Not applicable</t>
        </r>
      </text>
    </comment>
    <comment ref="G4" authorId="0" shapeId="0">
      <text>
        <r>
          <rPr>
            <b/>
            <sz val="9"/>
            <color indexed="81"/>
            <rFont val="Tahoma"/>
            <family val="2"/>
          </rPr>
          <t xml:space="preserve">A - </t>
        </r>
        <r>
          <rPr>
            <sz val="9"/>
            <color indexed="81"/>
            <rFont val="Tahoma"/>
            <family val="2"/>
          </rPr>
          <t>configurable with lots of plug-ins</t>
        </r>
        <r>
          <rPr>
            <b/>
            <sz val="9"/>
            <color indexed="81"/>
            <rFont val="Tahoma"/>
            <family val="2"/>
          </rPr>
          <t xml:space="preserve">
B - </t>
        </r>
        <r>
          <rPr>
            <sz val="9"/>
            <color indexed="81"/>
            <rFont val="Tahoma"/>
            <family val="2"/>
          </rPr>
          <t>lots of plug-ins available</t>
        </r>
        <r>
          <rPr>
            <b/>
            <sz val="9"/>
            <color indexed="81"/>
            <rFont val="Tahoma"/>
            <family val="2"/>
          </rPr>
          <t xml:space="preserve">
C -</t>
        </r>
        <r>
          <rPr>
            <sz val="9"/>
            <color indexed="81"/>
            <rFont val="Tahoma"/>
            <family val="2"/>
          </rPr>
          <t xml:space="preserve"> limited or no plug-ins</t>
        </r>
        <r>
          <rPr>
            <b/>
            <sz val="9"/>
            <color indexed="81"/>
            <rFont val="Tahoma"/>
            <family val="2"/>
          </rPr>
          <t xml:space="preserve">
D -</t>
        </r>
        <r>
          <rPr>
            <sz val="9"/>
            <color indexed="81"/>
            <rFont val="Tahoma"/>
            <family val="2"/>
          </rPr>
          <t xml:space="preserve"> not modular</t>
        </r>
      </text>
    </comment>
    <comment ref="H4" authorId="0" shapeId="0">
      <text>
        <r>
          <rPr>
            <b/>
            <sz val="9"/>
            <color indexed="81"/>
            <rFont val="Tahoma"/>
            <family val="2"/>
          </rPr>
          <t>A -</t>
        </r>
        <r>
          <rPr>
            <sz val="9"/>
            <color indexed="81"/>
            <rFont val="Tahoma"/>
            <family val="2"/>
          </rPr>
          <t xml:space="preserve"> Adaptive</t>
        </r>
        <r>
          <rPr>
            <b/>
            <sz val="9"/>
            <color indexed="81"/>
            <rFont val="Tahoma"/>
            <family val="2"/>
          </rPr>
          <t xml:space="preserve">
B - </t>
        </r>
        <r>
          <rPr>
            <sz val="9"/>
            <color indexed="81"/>
            <rFont val="Tahoma"/>
            <family val="2"/>
          </rPr>
          <t>Mix of adaptive and passive</t>
        </r>
        <r>
          <rPr>
            <b/>
            <sz val="9"/>
            <color indexed="81"/>
            <rFont val="Tahoma"/>
            <family val="2"/>
          </rPr>
          <t xml:space="preserve">
C - </t>
        </r>
        <r>
          <rPr>
            <sz val="9"/>
            <color indexed="81"/>
            <rFont val="Tahoma"/>
            <family val="2"/>
          </rPr>
          <t>Passive</t>
        </r>
        <r>
          <rPr>
            <b/>
            <sz val="9"/>
            <color indexed="81"/>
            <rFont val="Tahoma"/>
            <family val="2"/>
          </rPr>
          <t xml:space="preserve">
D - </t>
        </r>
        <r>
          <rPr>
            <sz val="9"/>
            <color indexed="81"/>
            <rFont val="Tahoma"/>
            <family val="2"/>
          </rPr>
          <t>No orchestration</t>
        </r>
      </text>
    </comment>
    <comment ref="I4" authorId="0" shapeId="0">
      <text>
        <r>
          <rPr>
            <b/>
            <sz val="9"/>
            <color indexed="81"/>
            <rFont val="Tahoma"/>
            <family val="2"/>
          </rPr>
          <t xml:space="preserve">Enables:
A - </t>
        </r>
        <r>
          <rPr>
            <sz val="9"/>
            <color indexed="81"/>
            <rFont val="Tahoma"/>
            <family val="2"/>
          </rPr>
          <t>Configurable+Codable</t>
        </r>
        <r>
          <rPr>
            <b/>
            <sz val="9"/>
            <color indexed="81"/>
            <rFont val="Tahoma"/>
            <family val="2"/>
          </rPr>
          <t xml:space="preserve">
B - </t>
        </r>
        <r>
          <rPr>
            <sz val="9"/>
            <color indexed="81"/>
            <rFont val="Tahoma"/>
            <family val="2"/>
          </rPr>
          <t>Primarily codable</t>
        </r>
        <r>
          <rPr>
            <b/>
            <sz val="9"/>
            <color indexed="81"/>
            <rFont val="Tahoma"/>
            <family val="2"/>
          </rPr>
          <t xml:space="preserve">
C - </t>
        </r>
        <r>
          <rPr>
            <sz val="9"/>
            <color indexed="81"/>
            <rFont val="Tahoma"/>
            <family val="2"/>
          </rPr>
          <t>Primarily configurable</t>
        </r>
        <r>
          <rPr>
            <b/>
            <sz val="9"/>
            <color indexed="81"/>
            <rFont val="Tahoma"/>
            <family val="2"/>
          </rPr>
          <t xml:space="preserve">
D - </t>
        </r>
        <r>
          <rPr>
            <sz val="9"/>
            <color indexed="81"/>
            <rFont val="Tahoma"/>
            <family val="2"/>
          </rPr>
          <t xml:space="preserve">No abstraction
</t>
        </r>
        <r>
          <rPr>
            <b/>
            <sz val="9"/>
            <color indexed="81"/>
            <rFont val="Tahoma"/>
            <family val="2"/>
          </rPr>
          <t>E -</t>
        </r>
        <r>
          <rPr>
            <sz val="9"/>
            <color indexed="81"/>
            <rFont val="Tahoma"/>
            <family val="2"/>
          </rPr>
          <t xml:space="preserve"> Not applicable</t>
        </r>
      </text>
    </comment>
    <comment ref="K4" authorId="0" shapeId="0">
      <text>
        <r>
          <rPr>
            <b/>
            <sz val="9"/>
            <color indexed="81"/>
            <rFont val="Tahoma"/>
            <family val="2"/>
          </rPr>
          <t xml:space="preserve">A - </t>
        </r>
        <r>
          <rPr>
            <sz val="9"/>
            <color indexed="81"/>
            <rFont val="Tahoma"/>
            <family val="2"/>
          </rPr>
          <t>configurable with lots of plug-ins</t>
        </r>
        <r>
          <rPr>
            <b/>
            <sz val="9"/>
            <color indexed="81"/>
            <rFont val="Tahoma"/>
            <family val="2"/>
          </rPr>
          <t xml:space="preserve">
B - </t>
        </r>
        <r>
          <rPr>
            <sz val="9"/>
            <color indexed="81"/>
            <rFont val="Tahoma"/>
            <family val="2"/>
          </rPr>
          <t>lots of plug-ins available</t>
        </r>
        <r>
          <rPr>
            <b/>
            <sz val="9"/>
            <color indexed="81"/>
            <rFont val="Tahoma"/>
            <family val="2"/>
          </rPr>
          <t xml:space="preserve">
C -</t>
        </r>
        <r>
          <rPr>
            <sz val="9"/>
            <color indexed="81"/>
            <rFont val="Tahoma"/>
            <family val="2"/>
          </rPr>
          <t xml:space="preserve"> limited or no plug-ins</t>
        </r>
        <r>
          <rPr>
            <b/>
            <sz val="9"/>
            <color indexed="81"/>
            <rFont val="Tahoma"/>
            <family val="2"/>
          </rPr>
          <t xml:space="preserve">
D -</t>
        </r>
        <r>
          <rPr>
            <sz val="9"/>
            <color indexed="81"/>
            <rFont val="Tahoma"/>
            <family val="2"/>
          </rPr>
          <t xml:space="preserve"> not modular</t>
        </r>
      </text>
    </comment>
    <comment ref="L4" authorId="0" shapeId="0">
      <text>
        <r>
          <rPr>
            <b/>
            <sz val="9"/>
            <color indexed="81"/>
            <rFont val="Tahoma"/>
            <family val="2"/>
          </rPr>
          <t>A -</t>
        </r>
        <r>
          <rPr>
            <sz val="9"/>
            <color indexed="81"/>
            <rFont val="Tahoma"/>
            <family val="2"/>
          </rPr>
          <t xml:space="preserve"> Adaptive</t>
        </r>
        <r>
          <rPr>
            <b/>
            <sz val="9"/>
            <color indexed="81"/>
            <rFont val="Tahoma"/>
            <family val="2"/>
          </rPr>
          <t xml:space="preserve">
B - </t>
        </r>
        <r>
          <rPr>
            <sz val="9"/>
            <color indexed="81"/>
            <rFont val="Tahoma"/>
            <family val="2"/>
          </rPr>
          <t>Mix of adaptive and passive</t>
        </r>
        <r>
          <rPr>
            <b/>
            <sz val="9"/>
            <color indexed="81"/>
            <rFont val="Tahoma"/>
            <family val="2"/>
          </rPr>
          <t xml:space="preserve">
C - </t>
        </r>
        <r>
          <rPr>
            <sz val="9"/>
            <color indexed="81"/>
            <rFont val="Tahoma"/>
            <family val="2"/>
          </rPr>
          <t>Passive</t>
        </r>
        <r>
          <rPr>
            <b/>
            <sz val="9"/>
            <color indexed="81"/>
            <rFont val="Tahoma"/>
            <family val="2"/>
          </rPr>
          <t xml:space="preserve">
D - </t>
        </r>
        <r>
          <rPr>
            <sz val="9"/>
            <color indexed="81"/>
            <rFont val="Tahoma"/>
            <family val="2"/>
          </rPr>
          <t>No orchestration</t>
        </r>
      </text>
    </comment>
    <comment ref="M4" authorId="0" shapeId="0">
      <text>
        <r>
          <rPr>
            <b/>
            <sz val="9"/>
            <color indexed="81"/>
            <rFont val="Tahoma"/>
            <family val="2"/>
          </rPr>
          <t xml:space="preserve">Enables:
A - </t>
        </r>
        <r>
          <rPr>
            <sz val="9"/>
            <color indexed="81"/>
            <rFont val="Tahoma"/>
            <family val="2"/>
          </rPr>
          <t>Configurable+Codable</t>
        </r>
        <r>
          <rPr>
            <b/>
            <sz val="9"/>
            <color indexed="81"/>
            <rFont val="Tahoma"/>
            <family val="2"/>
          </rPr>
          <t xml:space="preserve">
B - </t>
        </r>
        <r>
          <rPr>
            <sz val="9"/>
            <color indexed="81"/>
            <rFont val="Tahoma"/>
            <family val="2"/>
          </rPr>
          <t>Primarily codable</t>
        </r>
        <r>
          <rPr>
            <b/>
            <sz val="9"/>
            <color indexed="81"/>
            <rFont val="Tahoma"/>
            <family val="2"/>
          </rPr>
          <t xml:space="preserve">
C - </t>
        </r>
        <r>
          <rPr>
            <sz val="9"/>
            <color indexed="81"/>
            <rFont val="Tahoma"/>
            <family val="2"/>
          </rPr>
          <t>Primarily configurable</t>
        </r>
        <r>
          <rPr>
            <b/>
            <sz val="9"/>
            <color indexed="81"/>
            <rFont val="Tahoma"/>
            <family val="2"/>
          </rPr>
          <t xml:space="preserve">
D - </t>
        </r>
        <r>
          <rPr>
            <sz val="9"/>
            <color indexed="81"/>
            <rFont val="Tahoma"/>
            <family val="2"/>
          </rPr>
          <t xml:space="preserve">No abstraction
</t>
        </r>
        <r>
          <rPr>
            <b/>
            <sz val="9"/>
            <color indexed="81"/>
            <rFont val="Tahoma"/>
            <family val="2"/>
          </rPr>
          <t>E -</t>
        </r>
        <r>
          <rPr>
            <sz val="9"/>
            <color indexed="81"/>
            <rFont val="Tahoma"/>
            <family val="2"/>
          </rPr>
          <t xml:space="preserve"> Not applicable</t>
        </r>
      </text>
    </comment>
    <comment ref="O4" authorId="0" shapeId="0">
      <text>
        <r>
          <rPr>
            <b/>
            <sz val="9"/>
            <color indexed="81"/>
            <rFont val="Tahoma"/>
            <family val="2"/>
          </rPr>
          <t xml:space="preserve">A - </t>
        </r>
        <r>
          <rPr>
            <sz val="9"/>
            <color indexed="81"/>
            <rFont val="Tahoma"/>
            <family val="2"/>
          </rPr>
          <t>configurable with lots of plug-ins</t>
        </r>
        <r>
          <rPr>
            <b/>
            <sz val="9"/>
            <color indexed="81"/>
            <rFont val="Tahoma"/>
            <family val="2"/>
          </rPr>
          <t xml:space="preserve">
B - </t>
        </r>
        <r>
          <rPr>
            <sz val="9"/>
            <color indexed="81"/>
            <rFont val="Tahoma"/>
            <family val="2"/>
          </rPr>
          <t>lots of plug-ins available</t>
        </r>
        <r>
          <rPr>
            <b/>
            <sz val="9"/>
            <color indexed="81"/>
            <rFont val="Tahoma"/>
            <family val="2"/>
          </rPr>
          <t xml:space="preserve">
C -</t>
        </r>
        <r>
          <rPr>
            <sz val="9"/>
            <color indexed="81"/>
            <rFont val="Tahoma"/>
            <family val="2"/>
          </rPr>
          <t xml:space="preserve"> limited or no plug-ins</t>
        </r>
        <r>
          <rPr>
            <b/>
            <sz val="9"/>
            <color indexed="81"/>
            <rFont val="Tahoma"/>
            <family val="2"/>
          </rPr>
          <t xml:space="preserve">
D -</t>
        </r>
        <r>
          <rPr>
            <sz val="9"/>
            <color indexed="81"/>
            <rFont val="Tahoma"/>
            <family val="2"/>
          </rPr>
          <t xml:space="preserve"> not modular</t>
        </r>
      </text>
    </comment>
    <comment ref="P4" authorId="0" shapeId="0">
      <text>
        <r>
          <rPr>
            <b/>
            <sz val="9"/>
            <color indexed="81"/>
            <rFont val="Tahoma"/>
            <family val="2"/>
          </rPr>
          <t>A -</t>
        </r>
        <r>
          <rPr>
            <sz val="9"/>
            <color indexed="81"/>
            <rFont val="Tahoma"/>
            <family val="2"/>
          </rPr>
          <t xml:space="preserve"> Adaptive</t>
        </r>
        <r>
          <rPr>
            <b/>
            <sz val="9"/>
            <color indexed="81"/>
            <rFont val="Tahoma"/>
            <family val="2"/>
          </rPr>
          <t xml:space="preserve">
B - </t>
        </r>
        <r>
          <rPr>
            <sz val="9"/>
            <color indexed="81"/>
            <rFont val="Tahoma"/>
            <family val="2"/>
          </rPr>
          <t>Mix of adaptive and passive</t>
        </r>
        <r>
          <rPr>
            <b/>
            <sz val="9"/>
            <color indexed="81"/>
            <rFont val="Tahoma"/>
            <family val="2"/>
          </rPr>
          <t xml:space="preserve">
C - </t>
        </r>
        <r>
          <rPr>
            <sz val="9"/>
            <color indexed="81"/>
            <rFont val="Tahoma"/>
            <family val="2"/>
          </rPr>
          <t>Passive</t>
        </r>
        <r>
          <rPr>
            <b/>
            <sz val="9"/>
            <color indexed="81"/>
            <rFont val="Tahoma"/>
            <family val="2"/>
          </rPr>
          <t xml:space="preserve">
D - </t>
        </r>
        <r>
          <rPr>
            <sz val="9"/>
            <color indexed="81"/>
            <rFont val="Tahoma"/>
            <family val="2"/>
          </rPr>
          <t>No orchestration</t>
        </r>
      </text>
    </comment>
    <comment ref="Q4" authorId="0" shapeId="0">
      <text>
        <r>
          <rPr>
            <b/>
            <sz val="9"/>
            <color indexed="81"/>
            <rFont val="Tahoma"/>
            <family val="2"/>
          </rPr>
          <t xml:space="preserve">Enables:
A - </t>
        </r>
        <r>
          <rPr>
            <sz val="9"/>
            <color indexed="81"/>
            <rFont val="Tahoma"/>
            <family val="2"/>
          </rPr>
          <t>Configurable+Codable</t>
        </r>
        <r>
          <rPr>
            <b/>
            <sz val="9"/>
            <color indexed="81"/>
            <rFont val="Tahoma"/>
            <family val="2"/>
          </rPr>
          <t xml:space="preserve">
B - </t>
        </r>
        <r>
          <rPr>
            <sz val="9"/>
            <color indexed="81"/>
            <rFont val="Tahoma"/>
            <family val="2"/>
          </rPr>
          <t>Primarily codable</t>
        </r>
        <r>
          <rPr>
            <b/>
            <sz val="9"/>
            <color indexed="81"/>
            <rFont val="Tahoma"/>
            <family val="2"/>
          </rPr>
          <t xml:space="preserve">
C - </t>
        </r>
        <r>
          <rPr>
            <sz val="9"/>
            <color indexed="81"/>
            <rFont val="Tahoma"/>
            <family val="2"/>
          </rPr>
          <t>Primarily configurable</t>
        </r>
        <r>
          <rPr>
            <b/>
            <sz val="9"/>
            <color indexed="81"/>
            <rFont val="Tahoma"/>
            <family val="2"/>
          </rPr>
          <t xml:space="preserve">
D - </t>
        </r>
        <r>
          <rPr>
            <sz val="9"/>
            <color indexed="81"/>
            <rFont val="Tahoma"/>
            <family val="2"/>
          </rPr>
          <t xml:space="preserve">No abstraction
</t>
        </r>
        <r>
          <rPr>
            <b/>
            <sz val="9"/>
            <color indexed="81"/>
            <rFont val="Tahoma"/>
            <family val="2"/>
          </rPr>
          <t>E -</t>
        </r>
        <r>
          <rPr>
            <sz val="9"/>
            <color indexed="81"/>
            <rFont val="Tahoma"/>
            <family val="2"/>
          </rPr>
          <t xml:space="preserve"> Not applicable</t>
        </r>
      </text>
    </comment>
    <comment ref="S4" authorId="0" shapeId="0">
      <text>
        <r>
          <rPr>
            <b/>
            <sz val="9"/>
            <color indexed="81"/>
            <rFont val="Tahoma"/>
            <family val="2"/>
          </rPr>
          <t xml:space="preserve">A - </t>
        </r>
        <r>
          <rPr>
            <sz val="9"/>
            <color indexed="81"/>
            <rFont val="Tahoma"/>
            <family val="2"/>
          </rPr>
          <t>configurable with lots of plug-ins</t>
        </r>
        <r>
          <rPr>
            <b/>
            <sz val="9"/>
            <color indexed="81"/>
            <rFont val="Tahoma"/>
            <family val="2"/>
          </rPr>
          <t xml:space="preserve">
B - </t>
        </r>
        <r>
          <rPr>
            <sz val="9"/>
            <color indexed="81"/>
            <rFont val="Tahoma"/>
            <family val="2"/>
          </rPr>
          <t>lots of plug-ins available</t>
        </r>
        <r>
          <rPr>
            <b/>
            <sz val="9"/>
            <color indexed="81"/>
            <rFont val="Tahoma"/>
            <family val="2"/>
          </rPr>
          <t xml:space="preserve">
C -</t>
        </r>
        <r>
          <rPr>
            <sz val="9"/>
            <color indexed="81"/>
            <rFont val="Tahoma"/>
            <family val="2"/>
          </rPr>
          <t xml:space="preserve"> limited or no plug-ins</t>
        </r>
        <r>
          <rPr>
            <b/>
            <sz val="9"/>
            <color indexed="81"/>
            <rFont val="Tahoma"/>
            <family val="2"/>
          </rPr>
          <t xml:space="preserve">
D -</t>
        </r>
        <r>
          <rPr>
            <sz val="9"/>
            <color indexed="81"/>
            <rFont val="Tahoma"/>
            <family val="2"/>
          </rPr>
          <t xml:space="preserve"> not modular</t>
        </r>
      </text>
    </comment>
    <comment ref="T4" authorId="0" shapeId="0">
      <text>
        <r>
          <rPr>
            <b/>
            <sz val="9"/>
            <color indexed="81"/>
            <rFont val="Tahoma"/>
            <family val="2"/>
          </rPr>
          <t>A -</t>
        </r>
        <r>
          <rPr>
            <sz val="9"/>
            <color indexed="81"/>
            <rFont val="Tahoma"/>
            <family val="2"/>
          </rPr>
          <t xml:space="preserve"> Adaptive</t>
        </r>
        <r>
          <rPr>
            <b/>
            <sz val="9"/>
            <color indexed="81"/>
            <rFont val="Tahoma"/>
            <family val="2"/>
          </rPr>
          <t xml:space="preserve">
B - </t>
        </r>
        <r>
          <rPr>
            <sz val="9"/>
            <color indexed="81"/>
            <rFont val="Tahoma"/>
            <family val="2"/>
          </rPr>
          <t>Mix of adaptive and passive</t>
        </r>
        <r>
          <rPr>
            <b/>
            <sz val="9"/>
            <color indexed="81"/>
            <rFont val="Tahoma"/>
            <family val="2"/>
          </rPr>
          <t xml:space="preserve">
C - </t>
        </r>
        <r>
          <rPr>
            <sz val="9"/>
            <color indexed="81"/>
            <rFont val="Tahoma"/>
            <family val="2"/>
          </rPr>
          <t>Passive</t>
        </r>
        <r>
          <rPr>
            <b/>
            <sz val="9"/>
            <color indexed="81"/>
            <rFont val="Tahoma"/>
            <family val="2"/>
          </rPr>
          <t xml:space="preserve">
D - </t>
        </r>
        <r>
          <rPr>
            <sz val="9"/>
            <color indexed="81"/>
            <rFont val="Tahoma"/>
            <family val="2"/>
          </rPr>
          <t>No orchestration</t>
        </r>
      </text>
    </comment>
    <comment ref="U4" authorId="0" shapeId="0">
      <text>
        <r>
          <rPr>
            <b/>
            <sz val="9"/>
            <color indexed="81"/>
            <rFont val="Tahoma"/>
            <family val="2"/>
          </rPr>
          <t xml:space="preserve">Enables:
A - </t>
        </r>
        <r>
          <rPr>
            <sz val="9"/>
            <color indexed="81"/>
            <rFont val="Tahoma"/>
            <family val="2"/>
          </rPr>
          <t>Configurable+Codable</t>
        </r>
        <r>
          <rPr>
            <b/>
            <sz val="9"/>
            <color indexed="81"/>
            <rFont val="Tahoma"/>
            <family val="2"/>
          </rPr>
          <t xml:space="preserve">
B - </t>
        </r>
        <r>
          <rPr>
            <sz val="9"/>
            <color indexed="81"/>
            <rFont val="Tahoma"/>
            <family val="2"/>
          </rPr>
          <t>Primarily codable</t>
        </r>
        <r>
          <rPr>
            <b/>
            <sz val="9"/>
            <color indexed="81"/>
            <rFont val="Tahoma"/>
            <family val="2"/>
          </rPr>
          <t xml:space="preserve">
C - </t>
        </r>
        <r>
          <rPr>
            <sz val="9"/>
            <color indexed="81"/>
            <rFont val="Tahoma"/>
            <family val="2"/>
          </rPr>
          <t>Primarily configurable</t>
        </r>
        <r>
          <rPr>
            <b/>
            <sz val="9"/>
            <color indexed="81"/>
            <rFont val="Tahoma"/>
            <family val="2"/>
          </rPr>
          <t xml:space="preserve">
D - </t>
        </r>
        <r>
          <rPr>
            <sz val="9"/>
            <color indexed="81"/>
            <rFont val="Tahoma"/>
            <family val="2"/>
          </rPr>
          <t xml:space="preserve">No abstraction
</t>
        </r>
        <r>
          <rPr>
            <b/>
            <sz val="9"/>
            <color indexed="81"/>
            <rFont val="Tahoma"/>
            <family val="2"/>
          </rPr>
          <t>E -</t>
        </r>
        <r>
          <rPr>
            <sz val="9"/>
            <color indexed="81"/>
            <rFont val="Tahoma"/>
            <family val="2"/>
          </rPr>
          <t xml:space="preserve"> Not applicable</t>
        </r>
      </text>
    </comment>
    <comment ref="W4" authorId="0" shapeId="0">
      <text>
        <r>
          <rPr>
            <b/>
            <sz val="9"/>
            <color indexed="81"/>
            <rFont val="Tahoma"/>
            <family val="2"/>
          </rPr>
          <t xml:space="preserve">A - </t>
        </r>
        <r>
          <rPr>
            <sz val="9"/>
            <color indexed="81"/>
            <rFont val="Tahoma"/>
            <family val="2"/>
          </rPr>
          <t>configurable with lots of plug-ins</t>
        </r>
        <r>
          <rPr>
            <b/>
            <sz val="9"/>
            <color indexed="81"/>
            <rFont val="Tahoma"/>
            <family val="2"/>
          </rPr>
          <t xml:space="preserve">
B - </t>
        </r>
        <r>
          <rPr>
            <sz val="9"/>
            <color indexed="81"/>
            <rFont val="Tahoma"/>
            <family val="2"/>
          </rPr>
          <t>lots of plug-ins available</t>
        </r>
        <r>
          <rPr>
            <b/>
            <sz val="9"/>
            <color indexed="81"/>
            <rFont val="Tahoma"/>
            <family val="2"/>
          </rPr>
          <t xml:space="preserve">
C -</t>
        </r>
        <r>
          <rPr>
            <sz val="9"/>
            <color indexed="81"/>
            <rFont val="Tahoma"/>
            <family val="2"/>
          </rPr>
          <t xml:space="preserve"> limited or no plug-ins</t>
        </r>
        <r>
          <rPr>
            <b/>
            <sz val="9"/>
            <color indexed="81"/>
            <rFont val="Tahoma"/>
            <family val="2"/>
          </rPr>
          <t xml:space="preserve">
D -</t>
        </r>
        <r>
          <rPr>
            <sz val="9"/>
            <color indexed="81"/>
            <rFont val="Tahoma"/>
            <family val="2"/>
          </rPr>
          <t xml:space="preserve"> not modular</t>
        </r>
      </text>
    </comment>
    <comment ref="X4" authorId="0" shapeId="0">
      <text>
        <r>
          <rPr>
            <b/>
            <sz val="9"/>
            <color indexed="81"/>
            <rFont val="Tahoma"/>
            <family val="2"/>
          </rPr>
          <t>A -</t>
        </r>
        <r>
          <rPr>
            <sz val="9"/>
            <color indexed="81"/>
            <rFont val="Tahoma"/>
            <family val="2"/>
          </rPr>
          <t xml:space="preserve"> Adaptive</t>
        </r>
        <r>
          <rPr>
            <b/>
            <sz val="9"/>
            <color indexed="81"/>
            <rFont val="Tahoma"/>
            <family val="2"/>
          </rPr>
          <t xml:space="preserve">
B - </t>
        </r>
        <r>
          <rPr>
            <sz val="9"/>
            <color indexed="81"/>
            <rFont val="Tahoma"/>
            <family val="2"/>
          </rPr>
          <t>Mix of adaptive and passive</t>
        </r>
        <r>
          <rPr>
            <b/>
            <sz val="9"/>
            <color indexed="81"/>
            <rFont val="Tahoma"/>
            <family val="2"/>
          </rPr>
          <t xml:space="preserve">
C - </t>
        </r>
        <r>
          <rPr>
            <sz val="9"/>
            <color indexed="81"/>
            <rFont val="Tahoma"/>
            <family val="2"/>
          </rPr>
          <t>Passive</t>
        </r>
        <r>
          <rPr>
            <b/>
            <sz val="9"/>
            <color indexed="81"/>
            <rFont val="Tahoma"/>
            <family val="2"/>
          </rPr>
          <t xml:space="preserve">
D - </t>
        </r>
        <r>
          <rPr>
            <sz val="9"/>
            <color indexed="81"/>
            <rFont val="Tahoma"/>
            <family val="2"/>
          </rPr>
          <t>No orchestration</t>
        </r>
      </text>
    </comment>
    <comment ref="Y4" authorId="0" shapeId="0">
      <text>
        <r>
          <rPr>
            <b/>
            <sz val="9"/>
            <color indexed="81"/>
            <rFont val="Tahoma"/>
            <family val="2"/>
          </rPr>
          <t xml:space="preserve">Enables:
A - </t>
        </r>
        <r>
          <rPr>
            <sz val="9"/>
            <color indexed="81"/>
            <rFont val="Tahoma"/>
            <family val="2"/>
          </rPr>
          <t>Configurable+Codable</t>
        </r>
        <r>
          <rPr>
            <b/>
            <sz val="9"/>
            <color indexed="81"/>
            <rFont val="Tahoma"/>
            <family val="2"/>
          </rPr>
          <t xml:space="preserve">
B - </t>
        </r>
        <r>
          <rPr>
            <sz val="9"/>
            <color indexed="81"/>
            <rFont val="Tahoma"/>
            <family val="2"/>
          </rPr>
          <t>Primarily codable</t>
        </r>
        <r>
          <rPr>
            <b/>
            <sz val="9"/>
            <color indexed="81"/>
            <rFont val="Tahoma"/>
            <family val="2"/>
          </rPr>
          <t xml:space="preserve">
C - </t>
        </r>
        <r>
          <rPr>
            <sz val="9"/>
            <color indexed="81"/>
            <rFont val="Tahoma"/>
            <family val="2"/>
          </rPr>
          <t>Primarily configurable</t>
        </r>
        <r>
          <rPr>
            <b/>
            <sz val="9"/>
            <color indexed="81"/>
            <rFont val="Tahoma"/>
            <family val="2"/>
          </rPr>
          <t xml:space="preserve">
D - </t>
        </r>
        <r>
          <rPr>
            <sz val="9"/>
            <color indexed="81"/>
            <rFont val="Tahoma"/>
            <family val="2"/>
          </rPr>
          <t xml:space="preserve">No abstraction
</t>
        </r>
        <r>
          <rPr>
            <b/>
            <sz val="9"/>
            <color indexed="81"/>
            <rFont val="Tahoma"/>
            <family val="2"/>
          </rPr>
          <t>E -</t>
        </r>
        <r>
          <rPr>
            <sz val="9"/>
            <color indexed="81"/>
            <rFont val="Tahoma"/>
            <family val="2"/>
          </rPr>
          <t xml:space="preserve"> Not applicable</t>
        </r>
      </text>
    </comment>
    <comment ref="AA4" authorId="0" shapeId="0">
      <text>
        <r>
          <rPr>
            <b/>
            <sz val="9"/>
            <color indexed="81"/>
            <rFont val="Tahoma"/>
            <family val="2"/>
          </rPr>
          <t xml:space="preserve">A - </t>
        </r>
        <r>
          <rPr>
            <sz val="9"/>
            <color indexed="81"/>
            <rFont val="Tahoma"/>
            <family val="2"/>
          </rPr>
          <t>configurable with lots of plug-ins</t>
        </r>
        <r>
          <rPr>
            <b/>
            <sz val="9"/>
            <color indexed="81"/>
            <rFont val="Tahoma"/>
            <family val="2"/>
          </rPr>
          <t xml:space="preserve">
B - </t>
        </r>
        <r>
          <rPr>
            <sz val="9"/>
            <color indexed="81"/>
            <rFont val="Tahoma"/>
            <family val="2"/>
          </rPr>
          <t>lots of plug-ins available</t>
        </r>
        <r>
          <rPr>
            <b/>
            <sz val="9"/>
            <color indexed="81"/>
            <rFont val="Tahoma"/>
            <family val="2"/>
          </rPr>
          <t xml:space="preserve">
C -</t>
        </r>
        <r>
          <rPr>
            <sz val="9"/>
            <color indexed="81"/>
            <rFont val="Tahoma"/>
            <family val="2"/>
          </rPr>
          <t xml:space="preserve"> limited or no plug-ins</t>
        </r>
        <r>
          <rPr>
            <b/>
            <sz val="9"/>
            <color indexed="81"/>
            <rFont val="Tahoma"/>
            <family val="2"/>
          </rPr>
          <t xml:space="preserve">
D -</t>
        </r>
        <r>
          <rPr>
            <sz val="9"/>
            <color indexed="81"/>
            <rFont val="Tahoma"/>
            <family val="2"/>
          </rPr>
          <t xml:space="preserve"> not modular</t>
        </r>
      </text>
    </comment>
    <comment ref="AB4" authorId="0" shapeId="0">
      <text>
        <r>
          <rPr>
            <b/>
            <sz val="9"/>
            <color indexed="81"/>
            <rFont val="Tahoma"/>
            <family val="2"/>
          </rPr>
          <t>A -</t>
        </r>
        <r>
          <rPr>
            <sz val="9"/>
            <color indexed="81"/>
            <rFont val="Tahoma"/>
            <family val="2"/>
          </rPr>
          <t xml:space="preserve"> Adaptive</t>
        </r>
        <r>
          <rPr>
            <b/>
            <sz val="9"/>
            <color indexed="81"/>
            <rFont val="Tahoma"/>
            <family val="2"/>
          </rPr>
          <t xml:space="preserve">
B - </t>
        </r>
        <r>
          <rPr>
            <sz val="9"/>
            <color indexed="81"/>
            <rFont val="Tahoma"/>
            <family val="2"/>
          </rPr>
          <t>Mix of adaptive and passive</t>
        </r>
        <r>
          <rPr>
            <b/>
            <sz val="9"/>
            <color indexed="81"/>
            <rFont val="Tahoma"/>
            <family val="2"/>
          </rPr>
          <t xml:space="preserve">
C - </t>
        </r>
        <r>
          <rPr>
            <sz val="9"/>
            <color indexed="81"/>
            <rFont val="Tahoma"/>
            <family val="2"/>
          </rPr>
          <t>Passive</t>
        </r>
        <r>
          <rPr>
            <b/>
            <sz val="9"/>
            <color indexed="81"/>
            <rFont val="Tahoma"/>
            <family val="2"/>
          </rPr>
          <t xml:space="preserve">
D - </t>
        </r>
        <r>
          <rPr>
            <sz val="9"/>
            <color indexed="81"/>
            <rFont val="Tahoma"/>
            <family val="2"/>
          </rPr>
          <t>No orchestration</t>
        </r>
      </text>
    </comment>
    <comment ref="AC4" authorId="0" shapeId="0">
      <text>
        <r>
          <rPr>
            <b/>
            <sz val="9"/>
            <color indexed="81"/>
            <rFont val="Tahoma"/>
            <family val="2"/>
          </rPr>
          <t xml:space="preserve">Enables:
A - </t>
        </r>
        <r>
          <rPr>
            <sz val="9"/>
            <color indexed="81"/>
            <rFont val="Tahoma"/>
            <family val="2"/>
          </rPr>
          <t>Configurable+Codable</t>
        </r>
        <r>
          <rPr>
            <b/>
            <sz val="9"/>
            <color indexed="81"/>
            <rFont val="Tahoma"/>
            <family val="2"/>
          </rPr>
          <t xml:space="preserve">
B - </t>
        </r>
        <r>
          <rPr>
            <sz val="9"/>
            <color indexed="81"/>
            <rFont val="Tahoma"/>
            <family val="2"/>
          </rPr>
          <t>Primarily codable</t>
        </r>
        <r>
          <rPr>
            <b/>
            <sz val="9"/>
            <color indexed="81"/>
            <rFont val="Tahoma"/>
            <family val="2"/>
          </rPr>
          <t xml:space="preserve">
C - </t>
        </r>
        <r>
          <rPr>
            <sz val="9"/>
            <color indexed="81"/>
            <rFont val="Tahoma"/>
            <family val="2"/>
          </rPr>
          <t>Primarily configurable</t>
        </r>
        <r>
          <rPr>
            <b/>
            <sz val="9"/>
            <color indexed="81"/>
            <rFont val="Tahoma"/>
            <family val="2"/>
          </rPr>
          <t xml:space="preserve">
D - </t>
        </r>
        <r>
          <rPr>
            <sz val="9"/>
            <color indexed="81"/>
            <rFont val="Tahoma"/>
            <family val="2"/>
          </rPr>
          <t xml:space="preserve">No abstraction
</t>
        </r>
        <r>
          <rPr>
            <b/>
            <sz val="9"/>
            <color indexed="81"/>
            <rFont val="Tahoma"/>
            <family val="2"/>
          </rPr>
          <t>E -</t>
        </r>
        <r>
          <rPr>
            <sz val="9"/>
            <color indexed="81"/>
            <rFont val="Tahoma"/>
            <family val="2"/>
          </rPr>
          <t xml:space="preserve"> Not applicable</t>
        </r>
      </text>
    </comment>
    <comment ref="AE4" authorId="0" shapeId="0">
      <text>
        <r>
          <rPr>
            <b/>
            <sz val="9"/>
            <color indexed="81"/>
            <rFont val="Tahoma"/>
            <family val="2"/>
          </rPr>
          <t xml:space="preserve">A - </t>
        </r>
        <r>
          <rPr>
            <sz val="9"/>
            <color indexed="81"/>
            <rFont val="Tahoma"/>
            <family val="2"/>
          </rPr>
          <t>configurable with lots of plug-ins</t>
        </r>
        <r>
          <rPr>
            <b/>
            <sz val="9"/>
            <color indexed="81"/>
            <rFont val="Tahoma"/>
            <family val="2"/>
          </rPr>
          <t xml:space="preserve">
B - </t>
        </r>
        <r>
          <rPr>
            <sz val="9"/>
            <color indexed="81"/>
            <rFont val="Tahoma"/>
            <family val="2"/>
          </rPr>
          <t>lots of plug-ins available</t>
        </r>
        <r>
          <rPr>
            <b/>
            <sz val="9"/>
            <color indexed="81"/>
            <rFont val="Tahoma"/>
            <family val="2"/>
          </rPr>
          <t xml:space="preserve">
C -</t>
        </r>
        <r>
          <rPr>
            <sz val="9"/>
            <color indexed="81"/>
            <rFont val="Tahoma"/>
            <family val="2"/>
          </rPr>
          <t xml:space="preserve"> limited or no plug-ins</t>
        </r>
        <r>
          <rPr>
            <b/>
            <sz val="9"/>
            <color indexed="81"/>
            <rFont val="Tahoma"/>
            <family val="2"/>
          </rPr>
          <t xml:space="preserve">
D -</t>
        </r>
        <r>
          <rPr>
            <sz val="9"/>
            <color indexed="81"/>
            <rFont val="Tahoma"/>
            <family val="2"/>
          </rPr>
          <t xml:space="preserve"> not modular</t>
        </r>
      </text>
    </comment>
    <comment ref="AF4" authorId="0" shapeId="0">
      <text>
        <r>
          <rPr>
            <b/>
            <sz val="9"/>
            <color indexed="81"/>
            <rFont val="Tahoma"/>
            <family val="2"/>
          </rPr>
          <t>A -</t>
        </r>
        <r>
          <rPr>
            <sz val="9"/>
            <color indexed="81"/>
            <rFont val="Tahoma"/>
            <family val="2"/>
          </rPr>
          <t xml:space="preserve"> Adaptive</t>
        </r>
        <r>
          <rPr>
            <b/>
            <sz val="9"/>
            <color indexed="81"/>
            <rFont val="Tahoma"/>
            <family val="2"/>
          </rPr>
          <t xml:space="preserve">
B - </t>
        </r>
        <r>
          <rPr>
            <sz val="9"/>
            <color indexed="81"/>
            <rFont val="Tahoma"/>
            <family val="2"/>
          </rPr>
          <t>Mix of adaptive and passive</t>
        </r>
        <r>
          <rPr>
            <b/>
            <sz val="9"/>
            <color indexed="81"/>
            <rFont val="Tahoma"/>
            <family val="2"/>
          </rPr>
          <t xml:space="preserve">
C - </t>
        </r>
        <r>
          <rPr>
            <sz val="9"/>
            <color indexed="81"/>
            <rFont val="Tahoma"/>
            <family val="2"/>
          </rPr>
          <t>Passive</t>
        </r>
        <r>
          <rPr>
            <b/>
            <sz val="9"/>
            <color indexed="81"/>
            <rFont val="Tahoma"/>
            <family val="2"/>
          </rPr>
          <t xml:space="preserve">
D - </t>
        </r>
        <r>
          <rPr>
            <sz val="9"/>
            <color indexed="81"/>
            <rFont val="Tahoma"/>
            <family val="2"/>
          </rPr>
          <t>No orchestration</t>
        </r>
      </text>
    </comment>
    <comment ref="AG4" authorId="0" shapeId="0">
      <text>
        <r>
          <rPr>
            <b/>
            <sz val="9"/>
            <color indexed="81"/>
            <rFont val="Tahoma"/>
            <family val="2"/>
          </rPr>
          <t xml:space="preserve">Enables:
A - </t>
        </r>
        <r>
          <rPr>
            <sz val="9"/>
            <color indexed="81"/>
            <rFont val="Tahoma"/>
            <family val="2"/>
          </rPr>
          <t>Configurable+Codable</t>
        </r>
        <r>
          <rPr>
            <b/>
            <sz val="9"/>
            <color indexed="81"/>
            <rFont val="Tahoma"/>
            <family val="2"/>
          </rPr>
          <t xml:space="preserve">
B - </t>
        </r>
        <r>
          <rPr>
            <sz val="9"/>
            <color indexed="81"/>
            <rFont val="Tahoma"/>
            <family val="2"/>
          </rPr>
          <t>Primarily codable</t>
        </r>
        <r>
          <rPr>
            <b/>
            <sz val="9"/>
            <color indexed="81"/>
            <rFont val="Tahoma"/>
            <family val="2"/>
          </rPr>
          <t xml:space="preserve">
C - </t>
        </r>
        <r>
          <rPr>
            <sz val="9"/>
            <color indexed="81"/>
            <rFont val="Tahoma"/>
            <family val="2"/>
          </rPr>
          <t>Primarily configurable</t>
        </r>
        <r>
          <rPr>
            <b/>
            <sz val="9"/>
            <color indexed="81"/>
            <rFont val="Tahoma"/>
            <family val="2"/>
          </rPr>
          <t xml:space="preserve">
D - </t>
        </r>
        <r>
          <rPr>
            <sz val="9"/>
            <color indexed="81"/>
            <rFont val="Tahoma"/>
            <family val="2"/>
          </rPr>
          <t xml:space="preserve">No abstraction
</t>
        </r>
        <r>
          <rPr>
            <b/>
            <sz val="9"/>
            <color indexed="81"/>
            <rFont val="Tahoma"/>
            <family val="2"/>
          </rPr>
          <t>E -</t>
        </r>
        <r>
          <rPr>
            <sz val="9"/>
            <color indexed="81"/>
            <rFont val="Tahoma"/>
            <family val="2"/>
          </rPr>
          <t xml:space="preserve"> Not applicable</t>
        </r>
      </text>
    </comment>
    <comment ref="AI4" authorId="0" shapeId="0">
      <text>
        <r>
          <rPr>
            <b/>
            <sz val="9"/>
            <color indexed="81"/>
            <rFont val="Tahoma"/>
            <family val="2"/>
          </rPr>
          <t xml:space="preserve">A - </t>
        </r>
        <r>
          <rPr>
            <sz val="9"/>
            <color indexed="81"/>
            <rFont val="Tahoma"/>
            <family val="2"/>
          </rPr>
          <t>configurable with lots of plug-ins</t>
        </r>
        <r>
          <rPr>
            <b/>
            <sz val="9"/>
            <color indexed="81"/>
            <rFont val="Tahoma"/>
            <family val="2"/>
          </rPr>
          <t xml:space="preserve">
B - </t>
        </r>
        <r>
          <rPr>
            <sz val="9"/>
            <color indexed="81"/>
            <rFont val="Tahoma"/>
            <family val="2"/>
          </rPr>
          <t>lots of plug-ins available</t>
        </r>
        <r>
          <rPr>
            <b/>
            <sz val="9"/>
            <color indexed="81"/>
            <rFont val="Tahoma"/>
            <family val="2"/>
          </rPr>
          <t xml:space="preserve">
C -</t>
        </r>
        <r>
          <rPr>
            <sz val="9"/>
            <color indexed="81"/>
            <rFont val="Tahoma"/>
            <family val="2"/>
          </rPr>
          <t xml:space="preserve"> limited or no plug-ins</t>
        </r>
        <r>
          <rPr>
            <b/>
            <sz val="9"/>
            <color indexed="81"/>
            <rFont val="Tahoma"/>
            <family val="2"/>
          </rPr>
          <t xml:space="preserve">
D -</t>
        </r>
        <r>
          <rPr>
            <sz val="9"/>
            <color indexed="81"/>
            <rFont val="Tahoma"/>
            <family val="2"/>
          </rPr>
          <t xml:space="preserve"> not modular</t>
        </r>
      </text>
    </comment>
    <comment ref="AJ4" authorId="0" shapeId="0">
      <text>
        <r>
          <rPr>
            <b/>
            <sz val="9"/>
            <color indexed="81"/>
            <rFont val="Tahoma"/>
            <family val="2"/>
          </rPr>
          <t>A -</t>
        </r>
        <r>
          <rPr>
            <sz val="9"/>
            <color indexed="81"/>
            <rFont val="Tahoma"/>
            <family val="2"/>
          </rPr>
          <t xml:space="preserve"> Adaptive</t>
        </r>
        <r>
          <rPr>
            <b/>
            <sz val="9"/>
            <color indexed="81"/>
            <rFont val="Tahoma"/>
            <family val="2"/>
          </rPr>
          <t xml:space="preserve">
B - </t>
        </r>
        <r>
          <rPr>
            <sz val="9"/>
            <color indexed="81"/>
            <rFont val="Tahoma"/>
            <family val="2"/>
          </rPr>
          <t>Mix of adaptive and passive</t>
        </r>
        <r>
          <rPr>
            <b/>
            <sz val="9"/>
            <color indexed="81"/>
            <rFont val="Tahoma"/>
            <family val="2"/>
          </rPr>
          <t xml:space="preserve">
C - </t>
        </r>
        <r>
          <rPr>
            <sz val="9"/>
            <color indexed="81"/>
            <rFont val="Tahoma"/>
            <family val="2"/>
          </rPr>
          <t>Passive</t>
        </r>
        <r>
          <rPr>
            <b/>
            <sz val="9"/>
            <color indexed="81"/>
            <rFont val="Tahoma"/>
            <family val="2"/>
          </rPr>
          <t xml:space="preserve">
D - </t>
        </r>
        <r>
          <rPr>
            <sz val="9"/>
            <color indexed="81"/>
            <rFont val="Tahoma"/>
            <family val="2"/>
          </rPr>
          <t>No orchestration</t>
        </r>
      </text>
    </comment>
    <comment ref="AK4" authorId="0" shapeId="0">
      <text>
        <r>
          <rPr>
            <b/>
            <sz val="9"/>
            <color indexed="81"/>
            <rFont val="Tahoma"/>
            <family val="2"/>
          </rPr>
          <t xml:space="preserve">Enables:
A - </t>
        </r>
        <r>
          <rPr>
            <sz val="9"/>
            <color indexed="81"/>
            <rFont val="Tahoma"/>
            <family val="2"/>
          </rPr>
          <t>Configurable+Codable</t>
        </r>
        <r>
          <rPr>
            <b/>
            <sz val="9"/>
            <color indexed="81"/>
            <rFont val="Tahoma"/>
            <family val="2"/>
          </rPr>
          <t xml:space="preserve">
B - </t>
        </r>
        <r>
          <rPr>
            <sz val="9"/>
            <color indexed="81"/>
            <rFont val="Tahoma"/>
            <family val="2"/>
          </rPr>
          <t>Primarily codable</t>
        </r>
        <r>
          <rPr>
            <b/>
            <sz val="9"/>
            <color indexed="81"/>
            <rFont val="Tahoma"/>
            <family val="2"/>
          </rPr>
          <t xml:space="preserve">
C - </t>
        </r>
        <r>
          <rPr>
            <sz val="9"/>
            <color indexed="81"/>
            <rFont val="Tahoma"/>
            <family val="2"/>
          </rPr>
          <t>Primarily configurable</t>
        </r>
        <r>
          <rPr>
            <b/>
            <sz val="9"/>
            <color indexed="81"/>
            <rFont val="Tahoma"/>
            <family val="2"/>
          </rPr>
          <t xml:space="preserve">
D - </t>
        </r>
        <r>
          <rPr>
            <sz val="9"/>
            <color indexed="81"/>
            <rFont val="Tahoma"/>
            <family val="2"/>
          </rPr>
          <t xml:space="preserve">No abstraction
</t>
        </r>
        <r>
          <rPr>
            <b/>
            <sz val="9"/>
            <color indexed="81"/>
            <rFont val="Tahoma"/>
            <family val="2"/>
          </rPr>
          <t>E -</t>
        </r>
        <r>
          <rPr>
            <sz val="9"/>
            <color indexed="81"/>
            <rFont val="Tahoma"/>
            <family val="2"/>
          </rPr>
          <t xml:space="preserve"> Not applicable</t>
        </r>
      </text>
    </comment>
    <comment ref="AM4" authorId="0" shapeId="0">
      <text>
        <r>
          <rPr>
            <b/>
            <sz val="9"/>
            <color indexed="81"/>
            <rFont val="Tahoma"/>
            <family val="2"/>
          </rPr>
          <t xml:space="preserve">A - </t>
        </r>
        <r>
          <rPr>
            <sz val="9"/>
            <color indexed="81"/>
            <rFont val="Tahoma"/>
            <family val="2"/>
          </rPr>
          <t>configurable with lots of plug-ins</t>
        </r>
        <r>
          <rPr>
            <b/>
            <sz val="9"/>
            <color indexed="81"/>
            <rFont val="Tahoma"/>
            <family val="2"/>
          </rPr>
          <t xml:space="preserve">
B - </t>
        </r>
        <r>
          <rPr>
            <sz val="9"/>
            <color indexed="81"/>
            <rFont val="Tahoma"/>
            <family val="2"/>
          </rPr>
          <t>lots of plug-ins available</t>
        </r>
        <r>
          <rPr>
            <b/>
            <sz val="9"/>
            <color indexed="81"/>
            <rFont val="Tahoma"/>
            <family val="2"/>
          </rPr>
          <t xml:space="preserve">
C -</t>
        </r>
        <r>
          <rPr>
            <sz val="9"/>
            <color indexed="81"/>
            <rFont val="Tahoma"/>
            <family val="2"/>
          </rPr>
          <t xml:space="preserve"> limited or no plug-ins</t>
        </r>
        <r>
          <rPr>
            <b/>
            <sz val="9"/>
            <color indexed="81"/>
            <rFont val="Tahoma"/>
            <family val="2"/>
          </rPr>
          <t xml:space="preserve">
D -</t>
        </r>
        <r>
          <rPr>
            <sz val="9"/>
            <color indexed="81"/>
            <rFont val="Tahoma"/>
            <family val="2"/>
          </rPr>
          <t xml:space="preserve"> not modular</t>
        </r>
      </text>
    </comment>
    <comment ref="AN4" authorId="0" shapeId="0">
      <text>
        <r>
          <rPr>
            <b/>
            <sz val="9"/>
            <color indexed="81"/>
            <rFont val="Tahoma"/>
            <family val="2"/>
          </rPr>
          <t>A -</t>
        </r>
        <r>
          <rPr>
            <sz val="9"/>
            <color indexed="81"/>
            <rFont val="Tahoma"/>
            <family val="2"/>
          </rPr>
          <t xml:space="preserve"> Adaptive</t>
        </r>
        <r>
          <rPr>
            <b/>
            <sz val="9"/>
            <color indexed="81"/>
            <rFont val="Tahoma"/>
            <family val="2"/>
          </rPr>
          <t xml:space="preserve">
B - </t>
        </r>
        <r>
          <rPr>
            <sz val="9"/>
            <color indexed="81"/>
            <rFont val="Tahoma"/>
            <family val="2"/>
          </rPr>
          <t>Mix of adaptive and passive</t>
        </r>
        <r>
          <rPr>
            <b/>
            <sz val="9"/>
            <color indexed="81"/>
            <rFont val="Tahoma"/>
            <family val="2"/>
          </rPr>
          <t xml:space="preserve">
C - </t>
        </r>
        <r>
          <rPr>
            <sz val="9"/>
            <color indexed="81"/>
            <rFont val="Tahoma"/>
            <family val="2"/>
          </rPr>
          <t>Passive</t>
        </r>
        <r>
          <rPr>
            <b/>
            <sz val="9"/>
            <color indexed="81"/>
            <rFont val="Tahoma"/>
            <family val="2"/>
          </rPr>
          <t xml:space="preserve">
D - </t>
        </r>
        <r>
          <rPr>
            <sz val="9"/>
            <color indexed="81"/>
            <rFont val="Tahoma"/>
            <family val="2"/>
          </rPr>
          <t>No orchestration</t>
        </r>
      </text>
    </comment>
    <comment ref="AO4" authorId="0" shapeId="0">
      <text>
        <r>
          <rPr>
            <b/>
            <sz val="9"/>
            <color indexed="81"/>
            <rFont val="Tahoma"/>
            <family val="2"/>
          </rPr>
          <t xml:space="preserve">Enables:
A - </t>
        </r>
        <r>
          <rPr>
            <sz val="9"/>
            <color indexed="81"/>
            <rFont val="Tahoma"/>
            <family val="2"/>
          </rPr>
          <t>Configurable+Codable</t>
        </r>
        <r>
          <rPr>
            <b/>
            <sz val="9"/>
            <color indexed="81"/>
            <rFont val="Tahoma"/>
            <family val="2"/>
          </rPr>
          <t xml:space="preserve">
B - </t>
        </r>
        <r>
          <rPr>
            <sz val="9"/>
            <color indexed="81"/>
            <rFont val="Tahoma"/>
            <family val="2"/>
          </rPr>
          <t>Primarily codable</t>
        </r>
        <r>
          <rPr>
            <b/>
            <sz val="9"/>
            <color indexed="81"/>
            <rFont val="Tahoma"/>
            <family val="2"/>
          </rPr>
          <t xml:space="preserve">
C - </t>
        </r>
        <r>
          <rPr>
            <sz val="9"/>
            <color indexed="81"/>
            <rFont val="Tahoma"/>
            <family val="2"/>
          </rPr>
          <t>Primarily configurable</t>
        </r>
        <r>
          <rPr>
            <b/>
            <sz val="9"/>
            <color indexed="81"/>
            <rFont val="Tahoma"/>
            <family val="2"/>
          </rPr>
          <t xml:space="preserve">
D - </t>
        </r>
        <r>
          <rPr>
            <sz val="9"/>
            <color indexed="81"/>
            <rFont val="Tahoma"/>
            <family val="2"/>
          </rPr>
          <t xml:space="preserve">No abstraction
</t>
        </r>
        <r>
          <rPr>
            <b/>
            <sz val="9"/>
            <color indexed="81"/>
            <rFont val="Tahoma"/>
            <family val="2"/>
          </rPr>
          <t>E -</t>
        </r>
        <r>
          <rPr>
            <sz val="9"/>
            <color indexed="81"/>
            <rFont val="Tahoma"/>
            <family val="2"/>
          </rPr>
          <t xml:space="preserve"> Not applicable</t>
        </r>
      </text>
    </comment>
    <comment ref="AQ4" authorId="0" shapeId="0">
      <text>
        <r>
          <rPr>
            <b/>
            <sz val="9"/>
            <color indexed="81"/>
            <rFont val="Tahoma"/>
            <family val="2"/>
          </rPr>
          <t xml:space="preserve">A - </t>
        </r>
        <r>
          <rPr>
            <sz val="9"/>
            <color indexed="81"/>
            <rFont val="Tahoma"/>
            <family val="2"/>
          </rPr>
          <t>configurable with lots of plug-ins</t>
        </r>
        <r>
          <rPr>
            <b/>
            <sz val="9"/>
            <color indexed="81"/>
            <rFont val="Tahoma"/>
            <family val="2"/>
          </rPr>
          <t xml:space="preserve">
B - </t>
        </r>
        <r>
          <rPr>
            <sz val="9"/>
            <color indexed="81"/>
            <rFont val="Tahoma"/>
            <family val="2"/>
          </rPr>
          <t>lots of plug-ins available</t>
        </r>
        <r>
          <rPr>
            <b/>
            <sz val="9"/>
            <color indexed="81"/>
            <rFont val="Tahoma"/>
            <family val="2"/>
          </rPr>
          <t xml:space="preserve">
C -</t>
        </r>
        <r>
          <rPr>
            <sz val="9"/>
            <color indexed="81"/>
            <rFont val="Tahoma"/>
            <family val="2"/>
          </rPr>
          <t xml:space="preserve"> limited or no plug-ins</t>
        </r>
        <r>
          <rPr>
            <b/>
            <sz val="9"/>
            <color indexed="81"/>
            <rFont val="Tahoma"/>
            <family val="2"/>
          </rPr>
          <t xml:space="preserve">
D -</t>
        </r>
        <r>
          <rPr>
            <sz val="9"/>
            <color indexed="81"/>
            <rFont val="Tahoma"/>
            <family val="2"/>
          </rPr>
          <t xml:space="preserve"> not modular</t>
        </r>
      </text>
    </comment>
    <comment ref="AR4" authorId="0" shapeId="0">
      <text>
        <r>
          <rPr>
            <b/>
            <sz val="9"/>
            <color indexed="81"/>
            <rFont val="Tahoma"/>
            <family val="2"/>
          </rPr>
          <t>A -</t>
        </r>
        <r>
          <rPr>
            <sz val="9"/>
            <color indexed="81"/>
            <rFont val="Tahoma"/>
            <family val="2"/>
          </rPr>
          <t xml:space="preserve"> Adaptive</t>
        </r>
        <r>
          <rPr>
            <b/>
            <sz val="9"/>
            <color indexed="81"/>
            <rFont val="Tahoma"/>
            <family val="2"/>
          </rPr>
          <t xml:space="preserve">
B - </t>
        </r>
        <r>
          <rPr>
            <sz val="9"/>
            <color indexed="81"/>
            <rFont val="Tahoma"/>
            <family val="2"/>
          </rPr>
          <t>Mix of adaptive and passive</t>
        </r>
        <r>
          <rPr>
            <b/>
            <sz val="9"/>
            <color indexed="81"/>
            <rFont val="Tahoma"/>
            <family val="2"/>
          </rPr>
          <t xml:space="preserve">
C - </t>
        </r>
        <r>
          <rPr>
            <sz val="9"/>
            <color indexed="81"/>
            <rFont val="Tahoma"/>
            <family val="2"/>
          </rPr>
          <t>Passive</t>
        </r>
        <r>
          <rPr>
            <b/>
            <sz val="9"/>
            <color indexed="81"/>
            <rFont val="Tahoma"/>
            <family val="2"/>
          </rPr>
          <t xml:space="preserve">
D - </t>
        </r>
        <r>
          <rPr>
            <sz val="9"/>
            <color indexed="81"/>
            <rFont val="Tahoma"/>
            <family val="2"/>
          </rPr>
          <t>No orchestration</t>
        </r>
      </text>
    </comment>
    <comment ref="AS4" authorId="0" shapeId="0">
      <text>
        <r>
          <rPr>
            <b/>
            <sz val="9"/>
            <color indexed="81"/>
            <rFont val="Tahoma"/>
            <family val="2"/>
          </rPr>
          <t xml:space="preserve">Enables:
A - </t>
        </r>
        <r>
          <rPr>
            <sz val="9"/>
            <color indexed="81"/>
            <rFont val="Tahoma"/>
            <family val="2"/>
          </rPr>
          <t>Configurable+Codable</t>
        </r>
        <r>
          <rPr>
            <b/>
            <sz val="9"/>
            <color indexed="81"/>
            <rFont val="Tahoma"/>
            <family val="2"/>
          </rPr>
          <t xml:space="preserve">
B - </t>
        </r>
        <r>
          <rPr>
            <sz val="9"/>
            <color indexed="81"/>
            <rFont val="Tahoma"/>
            <family val="2"/>
          </rPr>
          <t>Primarily codable</t>
        </r>
        <r>
          <rPr>
            <b/>
            <sz val="9"/>
            <color indexed="81"/>
            <rFont val="Tahoma"/>
            <family val="2"/>
          </rPr>
          <t xml:space="preserve">
C - </t>
        </r>
        <r>
          <rPr>
            <sz val="9"/>
            <color indexed="81"/>
            <rFont val="Tahoma"/>
            <family val="2"/>
          </rPr>
          <t>Primarily configurable</t>
        </r>
        <r>
          <rPr>
            <b/>
            <sz val="9"/>
            <color indexed="81"/>
            <rFont val="Tahoma"/>
            <family val="2"/>
          </rPr>
          <t xml:space="preserve">
D - </t>
        </r>
        <r>
          <rPr>
            <sz val="9"/>
            <color indexed="81"/>
            <rFont val="Tahoma"/>
            <family val="2"/>
          </rPr>
          <t xml:space="preserve">No abstraction
</t>
        </r>
        <r>
          <rPr>
            <b/>
            <sz val="9"/>
            <color indexed="81"/>
            <rFont val="Tahoma"/>
            <family val="2"/>
          </rPr>
          <t>E -</t>
        </r>
        <r>
          <rPr>
            <sz val="9"/>
            <color indexed="81"/>
            <rFont val="Tahoma"/>
            <family val="2"/>
          </rPr>
          <t xml:space="preserve"> Not applicable</t>
        </r>
      </text>
    </comment>
    <comment ref="AU4" authorId="0" shapeId="0">
      <text>
        <r>
          <rPr>
            <b/>
            <sz val="9"/>
            <color indexed="81"/>
            <rFont val="Tahoma"/>
            <family val="2"/>
          </rPr>
          <t xml:space="preserve">A - </t>
        </r>
        <r>
          <rPr>
            <sz val="9"/>
            <color indexed="81"/>
            <rFont val="Tahoma"/>
            <family val="2"/>
          </rPr>
          <t>configurable with lots of plug-ins</t>
        </r>
        <r>
          <rPr>
            <b/>
            <sz val="9"/>
            <color indexed="81"/>
            <rFont val="Tahoma"/>
            <family val="2"/>
          </rPr>
          <t xml:space="preserve">
B - </t>
        </r>
        <r>
          <rPr>
            <sz val="9"/>
            <color indexed="81"/>
            <rFont val="Tahoma"/>
            <family val="2"/>
          </rPr>
          <t>lots of plug-ins available</t>
        </r>
        <r>
          <rPr>
            <b/>
            <sz val="9"/>
            <color indexed="81"/>
            <rFont val="Tahoma"/>
            <family val="2"/>
          </rPr>
          <t xml:space="preserve">
C -</t>
        </r>
        <r>
          <rPr>
            <sz val="9"/>
            <color indexed="81"/>
            <rFont val="Tahoma"/>
            <family val="2"/>
          </rPr>
          <t xml:space="preserve"> limited or no plug-ins</t>
        </r>
        <r>
          <rPr>
            <b/>
            <sz val="9"/>
            <color indexed="81"/>
            <rFont val="Tahoma"/>
            <family val="2"/>
          </rPr>
          <t xml:space="preserve">
D -</t>
        </r>
        <r>
          <rPr>
            <sz val="9"/>
            <color indexed="81"/>
            <rFont val="Tahoma"/>
            <family val="2"/>
          </rPr>
          <t xml:space="preserve"> not modular</t>
        </r>
      </text>
    </comment>
    <comment ref="AV4" authorId="0" shapeId="0">
      <text>
        <r>
          <rPr>
            <b/>
            <sz val="9"/>
            <color indexed="81"/>
            <rFont val="Tahoma"/>
            <family val="2"/>
          </rPr>
          <t>A -</t>
        </r>
        <r>
          <rPr>
            <sz val="9"/>
            <color indexed="81"/>
            <rFont val="Tahoma"/>
            <family val="2"/>
          </rPr>
          <t xml:space="preserve"> Adaptive</t>
        </r>
        <r>
          <rPr>
            <b/>
            <sz val="9"/>
            <color indexed="81"/>
            <rFont val="Tahoma"/>
            <family val="2"/>
          </rPr>
          <t xml:space="preserve">
B - </t>
        </r>
        <r>
          <rPr>
            <sz val="9"/>
            <color indexed="81"/>
            <rFont val="Tahoma"/>
            <family val="2"/>
          </rPr>
          <t>Mix of adaptive and passive</t>
        </r>
        <r>
          <rPr>
            <b/>
            <sz val="9"/>
            <color indexed="81"/>
            <rFont val="Tahoma"/>
            <family val="2"/>
          </rPr>
          <t xml:space="preserve">
C - </t>
        </r>
        <r>
          <rPr>
            <sz val="9"/>
            <color indexed="81"/>
            <rFont val="Tahoma"/>
            <family val="2"/>
          </rPr>
          <t>Passive</t>
        </r>
        <r>
          <rPr>
            <b/>
            <sz val="9"/>
            <color indexed="81"/>
            <rFont val="Tahoma"/>
            <family val="2"/>
          </rPr>
          <t xml:space="preserve">
D - </t>
        </r>
        <r>
          <rPr>
            <sz val="9"/>
            <color indexed="81"/>
            <rFont val="Tahoma"/>
            <family val="2"/>
          </rPr>
          <t>No orchestration</t>
        </r>
      </text>
    </comment>
    <comment ref="AW4" authorId="0" shapeId="0">
      <text>
        <r>
          <rPr>
            <b/>
            <sz val="9"/>
            <color indexed="81"/>
            <rFont val="Tahoma"/>
            <family val="2"/>
          </rPr>
          <t xml:space="preserve">Enables:
A - </t>
        </r>
        <r>
          <rPr>
            <sz val="9"/>
            <color indexed="81"/>
            <rFont val="Tahoma"/>
            <family val="2"/>
          </rPr>
          <t>Configurable+Codable</t>
        </r>
        <r>
          <rPr>
            <b/>
            <sz val="9"/>
            <color indexed="81"/>
            <rFont val="Tahoma"/>
            <family val="2"/>
          </rPr>
          <t xml:space="preserve">
B - </t>
        </r>
        <r>
          <rPr>
            <sz val="9"/>
            <color indexed="81"/>
            <rFont val="Tahoma"/>
            <family val="2"/>
          </rPr>
          <t>Primarily codable</t>
        </r>
        <r>
          <rPr>
            <b/>
            <sz val="9"/>
            <color indexed="81"/>
            <rFont val="Tahoma"/>
            <family val="2"/>
          </rPr>
          <t xml:space="preserve">
C - </t>
        </r>
        <r>
          <rPr>
            <sz val="9"/>
            <color indexed="81"/>
            <rFont val="Tahoma"/>
            <family val="2"/>
          </rPr>
          <t>Primarily configurable</t>
        </r>
        <r>
          <rPr>
            <b/>
            <sz val="9"/>
            <color indexed="81"/>
            <rFont val="Tahoma"/>
            <family val="2"/>
          </rPr>
          <t xml:space="preserve">
D - </t>
        </r>
        <r>
          <rPr>
            <sz val="9"/>
            <color indexed="81"/>
            <rFont val="Tahoma"/>
            <family val="2"/>
          </rPr>
          <t xml:space="preserve">No abstraction
</t>
        </r>
        <r>
          <rPr>
            <b/>
            <sz val="9"/>
            <color indexed="81"/>
            <rFont val="Tahoma"/>
            <family val="2"/>
          </rPr>
          <t>E -</t>
        </r>
        <r>
          <rPr>
            <sz val="9"/>
            <color indexed="81"/>
            <rFont val="Tahoma"/>
            <family val="2"/>
          </rPr>
          <t xml:space="preserve"> Not applicable</t>
        </r>
      </text>
    </comment>
    <comment ref="AY4" authorId="0" shapeId="0">
      <text>
        <r>
          <rPr>
            <b/>
            <sz val="9"/>
            <color indexed="81"/>
            <rFont val="Tahoma"/>
            <family val="2"/>
          </rPr>
          <t xml:space="preserve">A - </t>
        </r>
        <r>
          <rPr>
            <sz val="9"/>
            <color indexed="81"/>
            <rFont val="Tahoma"/>
            <family val="2"/>
          </rPr>
          <t>configurable with lots of plug-ins</t>
        </r>
        <r>
          <rPr>
            <b/>
            <sz val="9"/>
            <color indexed="81"/>
            <rFont val="Tahoma"/>
            <family val="2"/>
          </rPr>
          <t xml:space="preserve">
B - </t>
        </r>
        <r>
          <rPr>
            <sz val="9"/>
            <color indexed="81"/>
            <rFont val="Tahoma"/>
            <family val="2"/>
          </rPr>
          <t>lots of plug-ins available</t>
        </r>
        <r>
          <rPr>
            <b/>
            <sz val="9"/>
            <color indexed="81"/>
            <rFont val="Tahoma"/>
            <family val="2"/>
          </rPr>
          <t xml:space="preserve">
C -</t>
        </r>
        <r>
          <rPr>
            <sz val="9"/>
            <color indexed="81"/>
            <rFont val="Tahoma"/>
            <family val="2"/>
          </rPr>
          <t xml:space="preserve"> limited or no plug-ins</t>
        </r>
        <r>
          <rPr>
            <b/>
            <sz val="9"/>
            <color indexed="81"/>
            <rFont val="Tahoma"/>
            <family val="2"/>
          </rPr>
          <t xml:space="preserve">
D -</t>
        </r>
        <r>
          <rPr>
            <sz val="9"/>
            <color indexed="81"/>
            <rFont val="Tahoma"/>
            <family val="2"/>
          </rPr>
          <t xml:space="preserve"> not modular</t>
        </r>
      </text>
    </comment>
    <comment ref="AZ4" authorId="0" shapeId="0">
      <text>
        <r>
          <rPr>
            <b/>
            <sz val="9"/>
            <color indexed="81"/>
            <rFont val="Tahoma"/>
            <family val="2"/>
          </rPr>
          <t>A -</t>
        </r>
        <r>
          <rPr>
            <sz val="9"/>
            <color indexed="81"/>
            <rFont val="Tahoma"/>
            <family val="2"/>
          </rPr>
          <t xml:space="preserve"> Adaptive</t>
        </r>
        <r>
          <rPr>
            <b/>
            <sz val="9"/>
            <color indexed="81"/>
            <rFont val="Tahoma"/>
            <family val="2"/>
          </rPr>
          <t xml:space="preserve">
B - </t>
        </r>
        <r>
          <rPr>
            <sz val="9"/>
            <color indexed="81"/>
            <rFont val="Tahoma"/>
            <family val="2"/>
          </rPr>
          <t>Mix of adaptive and passive</t>
        </r>
        <r>
          <rPr>
            <b/>
            <sz val="9"/>
            <color indexed="81"/>
            <rFont val="Tahoma"/>
            <family val="2"/>
          </rPr>
          <t xml:space="preserve">
C - </t>
        </r>
        <r>
          <rPr>
            <sz val="9"/>
            <color indexed="81"/>
            <rFont val="Tahoma"/>
            <family val="2"/>
          </rPr>
          <t>Passive</t>
        </r>
        <r>
          <rPr>
            <b/>
            <sz val="9"/>
            <color indexed="81"/>
            <rFont val="Tahoma"/>
            <family val="2"/>
          </rPr>
          <t xml:space="preserve">
D - </t>
        </r>
        <r>
          <rPr>
            <sz val="9"/>
            <color indexed="81"/>
            <rFont val="Tahoma"/>
            <family val="2"/>
          </rPr>
          <t>No orchestration</t>
        </r>
      </text>
    </comment>
    <comment ref="BA4" authorId="0" shapeId="0">
      <text>
        <r>
          <rPr>
            <b/>
            <sz val="9"/>
            <color indexed="81"/>
            <rFont val="Tahoma"/>
            <family val="2"/>
          </rPr>
          <t xml:space="preserve">Enables:
A - </t>
        </r>
        <r>
          <rPr>
            <sz val="9"/>
            <color indexed="81"/>
            <rFont val="Tahoma"/>
            <family val="2"/>
          </rPr>
          <t>Configurable+Codable</t>
        </r>
        <r>
          <rPr>
            <b/>
            <sz val="9"/>
            <color indexed="81"/>
            <rFont val="Tahoma"/>
            <family val="2"/>
          </rPr>
          <t xml:space="preserve">
B - </t>
        </r>
        <r>
          <rPr>
            <sz val="9"/>
            <color indexed="81"/>
            <rFont val="Tahoma"/>
            <family val="2"/>
          </rPr>
          <t>Primarily codable</t>
        </r>
        <r>
          <rPr>
            <b/>
            <sz val="9"/>
            <color indexed="81"/>
            <rFont val="Tahoma"/>
            <family val="2"/>
          </rPr>
          <t xml:space="preserve">
C - </t>
        </r>
        <r>
          <rPr>
            <sz val="9"/>
            <color indexed="81"/>
            <rFont val="Tahoma"/>
            <family val="2"/>
          </rPr>
          <t>Primarily configurable</t>
        </r>
        <r>
          <rPr>
            <b/>
            <sz val="9"/>
            <color indexed="81"/>
            <rFont val="Tahoma"/>
            <family val="2"/>
          </rPr>
          <t xml:space="preserve">
D - </t>
        </r>
        <r>
          <rPr>
            <sz val="9"/>
            <color indexed="81"/>
            <rFont val="Tahoma"/>
            <family val="2"/>
          </rPr>
          <t xml:space="preserve">No abstraction
</t>
        </r>
        <r>
          <rPr>
            <b/>
            <sz val="9"/>
            <color indexed="81"/>
            <rFont val="Tahoma"/>
            <family val="2"/>
          </rPr>
          <t>E -</t>
        </r>
        <r>
          <rPr>
            <sz val="9"/>
            <color indexed="81"/>
            <rFont val="Tahoma"/>
            <family val="2"/>
          </rPr>
          <t xml:space="preserve"> Not applicable</t>
        </r>
      </text>
    </comment>
    <comment ref="BC4" authorId="0" shapeId="0">
      <text>
        <r>
          <rPr>
            <b/>
            <sz val="9"/>
            <color indexed="81"/>
            <rFont val="Tahoma"/>
            <family val="2"/>
          </rPr>
          <t xml:space="preserve">A - </t>
        </r>
        <r>
          <rPr>
            <sz val="9"/>
            <color indexed="81"/>
            <rFont val="Tahoma"/>
            <family val="2"/>
          </rPr>
          <t>configurable with lots of plug-ins</t>
        </r>
        <r>
          <rPr>
            <b/>
            <sz val="9"/>
            <color indexed="81"/>
            <rFont val="Tahoma"/>
            <family val="2"/>
          </rPr>
          <t xml:space="preserve">
B - </t>
        </r>
        <r>
          <rPr>
            <sz val="9"/>
            <color indexed="81"/>
            <rFont val="Tahoma"/>
            <family val="2"/>
          </rPr>
          <t>lots of plug-ins available</t>
        </r>
        <r>
          <rPr>
            <b/>
            <sz val="9"/>
            <color indexed="81"/>
            <rFont val="Tahoma"/>
            <family val="2"/>
          </rPr>
          <t xml:space="preserve">
C -</t>
        </r>
        <r>
          <rPr>
            <sz val="9"/>
            <color indexed="81"/>
            <rFont val="Tahoma"/>
            <family val="2"/>
          </rPr>
          <t xml:space="preserve"> limited or no plug-ins</t>
        </r>
        <r>
          <rPr>
            <b/>
            <sz val="9"/>
            <color indexed="81"/>
            <rFont val="Tahoma"/>
            <family val="2"/>
          </rPr>
          <t xml:space="preserve">
D -</t>
        </r>
        <r>
          <rPr>
            <sz val="9"/>
            <color indexed="81"/>
            <rFont val="Tahoma"/>
            <family val="2"/>
          </rPr>
          <t xml:space="preserve"> not modular</t>
        </r>
      </text>
    </comment>
    <comment ref="BD4" authorId="0" shapeId="0">
      <text>
        <r>
          <rPr>
            <b/>
            <sz val="9"/>
            <color indexed="81"/>
            <rFont val="Tahoma"/>
            <family val="2"/>
          </rPr>
          <t>A -</t>
        </r>
        <r>
          <rPr>
            <sz val="9"/>
            <color indexed="81"/>
            <rFont val="Tahoma"/>
            <family val="2"/>
          </rPr>
          <t xml:space="preserve"> Adaptive</t>
        </r>
        <r>
          <rPr>
            <b/>
            <sz val="9"/>
            <color indexed="81"/>
            <rFont val="Tahoma"/>
            <family val="2"/>
          </rPr>
          <t xml:space="preserve">
B - </t>
        </r>
        <r>
          <rPr>
            <sz val="9"/>
            <color indexed="81"/>
            <rFont val="Tahoma"/>
            <family val="2"/>
          </rPr>
          <t>Mix of adaptive and passive</t>
        </r>
        <r>
          <rPr>
            <b/>
            <sz val="9"/>
            <color indexed="81"/>
            <rFont val="Tahoma"/>
            <family val="2"/>
          </rPr>
          <t xml:space="preserve">
C - </t>
        </r>
        <r>
          <rPr>
            <sz val="9"/>
            <color indexed="81"/>
            <rFont val="Tahoma"/>
            <family val="2"/>
          </rPr>
          <t>Passive</t>
        </r>
        <r>
          <rPr>
            <b/>
            <sz val="9"/>
            <color indexed="81"/>
            <rFont val="Tahoma"/>
            <family val="2"/>
          </rPr>
          <t xml:space="preserve">
D - </t>
        </r>
        <r>
          <rPr>
            <sz val="9"/>
            <color indexed="81"/>
            <rFont val="Tahoma"/>
            <family val="2"/>
          </rPr>
          <t>No orchestration</t>
        </r>
      </text>
    </comment>
    <comment ref="BE4" authorId="0" shapeId="0">
      <text>
        <r>
          <rPr>
            <b/>
            <sz val="9"/>
            <color indexed="81"/>
            <rFont val="Tahoma"/>
            <family val="2"/>
          </rPr>
          <t xml:space="preserve">Enables:
A - </t>
        </r>
        <r>
          <rPr>
            <sz val="9"/>
            <color indexed="81"/>
            <rFont val="Tahoma"/>
            <family val="2"/>
          </rPr>
          <t>Configurable+Codable</t>
        </r>
        <r>
          <rPr>
            <b/>
            <sz val="9"/>
            <color indexed="81"/>
            <rFont val="Tahoma"/>
            <family val="2"/>
          </rPr>
          <t xml:space="preserve">
B - </t>
        </r>
        <r>
          <rPr>
            <sz val="9"/>
            <color indexed="81"/>
            <rFont val="Tahoma"/>
            <family val="2"/>
          </rPr>
          <t>Primarily codable</t>
        </r>
        <r>
          <rPr>
            <b/>
            <sz val="9"/>
            <color indexed="81"/>
            <rFont val="Tahoma"/>
            <family val="2"/>
          </rPr>
          <t xml:space="preserve">
C - </t>
        </r>
        <r>
          <rPr>
            <sz val="9"/>
            <color indexed="81"/>
            <rFont val="Tahoma"/>
            <family val="2"/>
          </rPr>
          <t>Primarily configurable</t>
        </r>
        <r>
          <rPr>
            <b/>
            <sz val="9"/>
            <color indexed="81"/>
            <rFont val="Tahoma"/>
            <family val="2"/>
          </rPr>
          <t xml:space="preserve">
D - </t>
        </r>
        <r>
          <rPr>
            <sz val="9"/>
            <color indexed="81"/>
            <rFont val="Tahoma"/>
            <family val="2"/>
          </rPr>
          <t xml:space="preserve">No abstraction
</t>
        </r>
        <r>
          <rPr>
            <b/>
            <sz val="9"/>
            <color indexed="81"/>
            <rFont val="Tahoma"/>
            <family val="2"/>
          </rPr>
          <t>E -</t>
        </r>
        <r>
          <rPr>
            <sz val="9"/>
            <color indexed="81"/>
            <rFont val="Tahoma"/>
            <family val="2"/>
          </rPr>
          <t xml:space="preserve"> Not applicable</t>
        </r>
      </text>
    </comment>
    <comment ref="BG4" authorId="0" shapeId="0">
      <text>
        <r>
          <rPr>
            <b/>
            <sz val="9"/>
            <color indexed="81"/>
            <rFont val="Tahoma"/>
            <family val="2"/>
          </rPr>
          <t xml:space="preserve">A - </t>
        </r>
        <r>
          <rPr>
            <sz val="9"/>
            <color indexed="81"/>
            <rFont val="Tahoma"/>
            <family val="2"/>
          </rPr>
          <t>configurable with lots of plug-ins</t>
        </r>
        <r>
          <rPr>
            <b/>
            <sz val="9"/>
            <color indexed="81"/>
            <rFont val="Tahoma"/>
            <family val="2"/>
          </rPr>
          <t xml:space="preserve">
B - </t>
        </r>
        <r>
          <rPr>
            <sz val="9"/>
            <color indexed="81"/>
            <rFont val="Tahoma"/>
            <family val="2"/>
          </rPr>
          <t>lots of plug-ins available</t>
        </r>
        <r>
          <rPr>
            <b/>
            <sz val="9"/>
            <color indexed="81"/>
            <rFont val="Tahoma"/>
            <family val="2"/>
          </rPr>
          <t xml:space="preserve">
C -</t>
        </r>
        <r>
          <rPr>
            <sz val="9"/>
            <color indexed="81"/>
            <rFont val="Tahoma"/>
            <family val="2"/>
          </rPr>
          <t xml:space="preserve"> limited or no plug-ins</t>
        </r>
        <r>
          <rPr>
            <b/>
            <sz val="9"/>
            <color indexed="81"/>
            <rFont val="Tahoma"/>
            <family val="2"/>
          </rPr>
          <t xml:space="preserve">
D -</t>
        </r>
        <r>
          <rPr>
            <sz val="9"/>
            <color indexed="81"/>
            <rFont val="Tahoma"/>
            <family val="2"/>
          </rPr>
          <t xml:space="preserve"> not modular</t>
        </r>
      </text>
    </comment>
    <comment ref="BH4" authorId="0" shapeId="0">
      <text>
        <r>
          <rPr>
            <b/>
            <sz val="9"/>
            <color indexed="81"/>
            <rFont val="Tahoma"/>
            <family val="2"/>
          </rPr>
          <t>A -</t>
        </r>
        <r>
          <rPr>
            <sz val="9"/>
            <color indexed="81"/>
            <rFont val="Tahoma"/>
            <family val="2"/>
          </rPr>
          <t xml:space="preserve"> Adaptive</t>
        </r>
        <r>
          <rPr>
            <b/>
            <sz val="9"/>
            <color indexed="81"/>
            <rFont val="Tahoma"/>
            <family val="2"/>
          </rPr>
          <t xml:space="preserve">
B - </t>
        </r>
        <r>
          <rPr>
            <sz val="9"/>
            <color indexed="81"/>
            <rFont val="Tahoma"/>
            <family val="2"/>
          </rPr>
          <t>Mix of adaptive and passive</t>
        </r>
        <r>
          <rPr>
            <b/>
            <sz val="9"/>
            <color indexed="81"/>
            <rFont val="Tahoma"/>
            <family val="2"/>
          </rPr>
          <t xml:space="preserve">
C - </t>
        </r>
        <r>
          <rPr>
            <sz val="9"/>
            <color indexed="81"/>
            <rFont val="Tahoma"/>
            <family val="2"/>
          </rPr>
          <t>Passive</t>
        </r>
        <r>
          <rPr>
            <b/>
            <sz val="9"/>
            <color indexed="81"/>
            <rFont val="Tahoma"/>
            <family val="2"/>
          </rPr>
          <t xml:space="preserve">
D - </t>
        </r>
        <r>
          <rPr>
            <sz val="9"/>
            <color indexed="81"/>
            <rFont val="Tahoma"/>
            <family val="2"/>
          </rPr>
          <t>No automation</t>
        </r>
      </text>
    </comment>
    <comment ref="BI4" authorId="0" shapeId="0">
      <text>
        <r>
          <rPr>
            <b/>
            <sz val="9"/>
            <color indexed="81"/>
            <rFont val="Tahoma"/>
            <family val="2"/>
          </rPr>
          <t xml:space="preserve">Enables:
A - </t>
        </r>
        <r>
          <rPr>
            <sz val="9"/>
            <color indexed="81"/>
            <rFont val="Tahoma"/>
            <family val="2"/>
          </rPr>
          <t>Configurable+Codable</t>
        </r>
        <r>
          <rPr>
            <b/>
            <sz val="9"/>
            <color indexed="81"/>
            <rFont val="Tahoma"/>
            <family val="2"/>
          </rPr>
          <t xml:space="preserve">
B - </t>
        </r>
        <r>
          <rPr>
            <sz val="9"/>
            <color indexed="81"/>
            <rFont val="Tahoma"/>
            <family val="2"/>
          </rPr>
          <t>Primarily codable</t>
        </r>
        <r>
          <rPr>
            <b/>
            <sz val="9"/>
            <color indexed="81"/>
            <rFont val="Tahoma"/>
            <family val="2"/>
          </rPr>
          <t xml:space="preserve">
C - </t>
        </r>
        <r>
          <rPr>
            <sz val="9"/>
            <color indexed="81"/>
            <rFont val="Tahoma"/>
            <family val="2"/>
          </rPr>
          <t>Primarily configurable</t>
        </r>
        <r>
          <rPr>
            <b/>
            <sz val="9"/>
            <color indexed="81"/>
            <rFont val="Tahoma"/>
            <family val="2"/>
          </rPr>
          <t xml:space="preserve">
D - </t>
        </r>
        <r>
          <rPr>
            <sz val="9"/>
            <color indexed="81"/>
            <rFont val="Tahoma"/>
            <family val="2"/>
          </rPr>
          <t xml:space="preserve">No abstraction
</t>
        </r>
        <r>
          <rPr>
            <b/>
            <sz val="9"/>
            <color indexed="81"/>
            <rFont val="Tahoma"/>
            <family val="2"/>
          </rPr>
          <t>E -</t>
        </r>
        <r>
          <rPr>
            <sz val="9"/>
            <color indexed="81"/>
            <rFont val="Tahoma"/>
            <family val="2"/>
          </rPr>
          <t xml:space="preserve"> Not applicable</t>
        </r>
      </text>
    </comment>
    <comment ref="BK4" authorId="0" shapeId="0">
      <text>
        <r>
          <rPr>
            <b/>
            <sz val="9"/>
            <color indexed="81"/>
            <rFont val="Tahoma"/>
            <family val="2"/>
          </rPr>
          <t xml:space="preserve">A - </t>
        </r>
        <r>
          <rPr>
            <sz val="9"/>
            <color indexed="81"/>
            <rFont val="Tahoma"/>
            <family val="2"/>
          </rPr>
          <t>configurable with lots of plug-ins</t>
        </r>
        <r>
          <rPr>
            <b/>
            <sz val="9"/>
            <color indexed="81"/>
            <rFont val="Tahoma"/>
            <family val="2"/>
          </rPr>
          <t xml:space="preserve">
B - </t>
        </r>
        <r>
          <rPr>
            <sz val="9"/>
            <color indexed="81"/>
            <rFont val="Tahoma"/>
            <family val="2"/>
          </rPr>
          <t>lots of plug-ins available</t>
        </r>
        <r>
          <rPr>
            <b/>
            <sz val="9"/>
            <color indexed="81"/>
            <rFont val="Tahoma"/>
            <family val="2"/>
          </rPr>
          <t xml:space="preserve">
C -</t>
        </r>
        <r>
          <rPr>
            <sz val="9"/>
            <color indexed="81"/>
            <rFont val="Tahoma"/>
            <family val="2"/>
          </rPr>
          <t xml:space="preserve"> limited or no plug-ins</t>
        </r>
        <r>
          <rPr>
            <b/>
            <sz val="9"/>
            <color indexed="81"/>
            <rFont val="Tahoma"/>
            <family val="2"/>
          </rPr>
          <t xml:space="preserve">
D -</t>
        </r>
        <r>
          <rPr>
            <sz val="9"/>
            <color indexed="81"/>
            <rFont val="Tahoma"/>
            <family val="2"/>
          </rPr>
          <t xml:space="preserve"> not modular</t>
        </r>
      </text>
    </comment>
    <comment ref="BL4" authorId="0" shapeId="0">
      <text>
        <r>
          <rPr>
            <b/>
            <sz val="9"/>
            <color indexed="81"/>
            <rFont val="Tahoma"/>
            <family val="2"/>
          </rPr>
          <t>A -</t>
        </r>
        <r>
          <rPr>
            <sz val="9"/>
            <color indexed="81"/>
            <rFont val="Tahoma"/>
            <family val="2"/>
          </rPr>
          <t xml:space="preserve"> Adaptive</t>
        </r>
        <r>
          <rPr>
            <b/>
            <sz val="9"/>
            <color indexed="81"/>
            <rFont val="Tahoma"/>
            <family val="2"/>
          </rPr>
          <t xml:space="preserve">
B - </t>
        </r>
        <r>
          <rPr>
            <sz val="9"/>
            <color indexed="81"/>
            <rFont val="Tahoma"/>
            <family val="2"/>
          </rPr>
          <t>Mix of adaptive and passive</t>
        </r>
        <r>
          <rPr>
            <b/>
            <sz val="9"/>
            <color indexed="81"/>
            <rFont val="Tahoma"/>
            <family val="2"/>
          </rPr>
          <t xml:space="preserve">
C - </t>
        </r>
        <r>
          <rPr>
            <sz val="9"/>
            <color indexed="81"/>
            <rFont val="Tahoma"/>
            <family val="2"/>
          </rPr>
          <t>Passive</t>
        </r>
        <r>
          <rPr>
            <b/>
            <sz val="9"/>
            <color indexed="81"/>
            <rFont val="Tahoma"/>
            <family val="2"/>
          </rPr>
          <t xml:space="preserve">
D - </t>
        </r>
        <r>
          <rPr>
            <sz val="9"/>
            <color indexed="81"/>
            <rFont val="Tahoma"/>
            <family val="2"/>
          </rPr>
          <t>No automation</t>
        </r>
      </text>
    </comment>
    <comment ref="BM4" authorId="0" shapeId="0">
      <text>
        <r>
          <rPr>
            <b/>
            <sz val="9"/>
            <color indexed="81"/>
            <rFont val="Tahoma"/>
            <family val="2"/>
          </rPr>
          <t xml:space="preserve">Enables:
A - </t>
        </r>
        <r>
          <rPr>
            <sz val="9"/>
            <color indexed="81"/>
            <rFont val="Tahoma"/>
            <family val="2"/>
          </rPr>
          <t>Configurable+Codable</t>
        </r>
        <r>
          <rPr>
            <b/>
            <sz val="9"/>
            <color indexed="81"/>
            <rFont val="Tahoma"/>
            <family val="2"/>
          </rPr>
          <t xml:space="preserve">
B - </t>
        </r>
        <r>
          <rPr>
            <sz val="9"/>
            <color indexed="81"/>
            <rFont val="Tahoma"/>
            <family val="2"/>
          </rPr>
          <t>Primarily codable</t>
        </r>
        <r>
          <rPr>
            <b/>
            <sz val="9"/>
            <color indexed="81"/>
            <rFont val="Tahoma"/>
            <family val="2"/>
          </rPr>
          <t xml:space="preserve">
C - </t>
        </r>
        <r>
          <rPr>
            <sz val="9"/>
            <color indexed="81"/>
            <rFont val="Tahoma"/>
            <family val="2"/>
          </rPr>
          <t>Primarily configurable</t>
        </r>
        <r>
          <rPr>
            <b/>
            <sz val="9"/>
            <color indexed="81"/>
            <rFont val="Tahoma"/>
            <family val="2"/>
          </rPr>
          <t xml:space="preserve">
D - </t>
        </r>
        <r>
          <rPr>
            <sz val="9"/>
            <color indexed="81"/>
            <rFont val="Tahoma"/>
            <family val="2"/>
          </rPr>
          <t xml:space="preserve">No abstraction
</t>
        </r>
        <r>
          <rPr>
            <b/>
            <sz val="9"/>
            <color indexed="81"/>
            <rFont val="Tahoma"/>
            <family val="2"/>
          </rPr>
          <t>E -</t>
        </r>
        <r>
          <rPr>
            <sz val="9"/>
            <color indexed="81"/>
            <rFont val="Tahoma"/>
            <family val="2"/>
          </rPr>
          <t xml:space="preserve"> Not applicable</t>
        </r>
      </text>
    </comment>
    <comment ref="BO4" authorId="0" shapeId="0">
      <text>
        <r>
          <rPr>
            <b/>
            <sz val="9"/>
            <color indexed="81"/>
            <rFont val="Tahoma"/>
            <family val="2"/>
          </rPr>
          <t xml:space="preserve">A - </t>
        </r>
        <r>
          <rPr>
            <sz val="9"/>
            <color indexed="81"/>
            <rFont val="Tahoma"/>
            <family val="2"/>
          </rPr>
          <t>configurable with lots of plug-ins</t>
        </r>
        <r>
          <rPr>
            <b/>
            <sz val="9"/>
            <color indexed="81"/>
            <rFont val="Tahoma"/>
            <family val="2"/>
          </rPr>
          <t xml:space="preserve">
B - </t>
        </r>
        <r>
          <rPr>
            <sz val="9"/>
            <color indexed="81"/>
            <rFont val="Tahoma"/>
            <family val="2"/>
          </rPr>
          <t>lots of plug-ins available</t>
        </r>
        <r>
          <rPr>
            <b/>
            <sz val="9"/>
            <color indexed="81"/>
            <rFont val="Tahoma"/>
            <family val="2"/>
          </rPr>
          <t xml:space="preserve">
C -</t>
        </r>
        <r>
          <rPr>
            <sz val="9"/>
            <color indexed="81"/>
            <rFont val="Tahoma"/>
            <family val="2"/>
          </rPr>
          <t xml:space="preserve"> limited or no plug-ins</t>
        </r>
        <r>
          <rPr>
            <b/>
            <sz val="9"/>
            <color indexed="81"/>
            <rFont val="Tahoma"/>
            <family val="2"/>
          </rPr>
          <t xml:space="preserve">
D -</t>
        </r>
        <r>
          <rPr>
            <sz val="9"/>
            <color indexed="81"/>
            <rFont val="Tahoma"/>
            <family val="2"/>
          </rPr>
          <t xml:space="preserve"> not modular</t>
        </r>
      </text>
    </comment>
    <comment ref="BP4" authorId="0" shapeId="0">
      <text>
        <r>
          <rPr>
            <b/>
            <sz val="9"/>
            <color indexed="81"/>
            <rFont val="Tahoma"/>
            <family val="2"/>
          </rPr>
          <t>A -</t>
        </r>
        <r>
          <rPr>
            <sz val="9"/>
            <color indexed="81"/>
            <rFont val="Tahoma"/>
            <family val="2"/>
          </rPr>
          <t xml:space="preserve"> Adaptive</t>
        </r>
        <r>
          <rPr>
            <b/>
            <sz val="9"/>
            <color indexed="81"/>
            <rFont val="Tahoma"/>
            <family val="2"/>
          </rPr>
          <t xml:space="preserve">
B - </t>
        </r>
        <r>
          <rPr>
            <sz val="9"/>
            <color indexed="81"/>
            <rFont val="Tahoma"/>
            <family val="2"/>
          </rPr>
          <t>Mix of adaptive and passive</t>
        </r>
        <r>
          <rPr>
            <b/>
            <sz val="9"/>
            <color indexed="81"/>
            <rFont val="Tahoma"/>
            <family val="2"/>
          </rPr>
          <t xml:space="preserve">
C - </t>
        </r>
        <r>
          <rPr>
            <sz val="9"/>
            <color indexed="81"/>
            <rFont val="Tahoma"/>
            <family val="2"/>
          </rPr>
          <t>Passive</t>
        </r>
        <r>
          <rPr>
            <b/>
            <sz val="9"/>
            <color indexed="81"/>
            <rFont val="Tahoma"/>
            <family val="2"/>
          </rPr>
          <t xml:space="preserve">
D - </t>
        </r>
        <r>
          <rPr>
            <sz val="9"/>
            <color indexed="81"/>
            <rFont val="Tahoma"/>
            <family val="2"/>
          </rPr>
          <t>No automation</t>
        </r>
      </text>
    </comment>
    <comment ref="BQ4" authorId="0" shapeId="0">
      <text>
        <r>
          <rPr>
            <b/>
            <sz val="9"/>
            <color indexed="81"/>
            <rFont val="Tahoma"/>
            <family val="2"/>
          </rPr>
          <t xml:space="preserve">Enables:
A - </t>
        </r>
        <r>
          <rPr>
            <sz val="9"/>
            <color indexed="81"/>
            <rFont val="Tahoma"/>
            <family val="2"/>
          </rPr>
          <t>Configurable+Codable</t>
        </r>
        <r>
          <rPr>
            <b/>
            <sz val="9"/>
            <color indexed="81"/>
            <rFont val="Tahoma"/>
            <family val="2"/>
          </rPr>
          <t xml:space="preserve">
B - </t>
        </r>
        <r>
          <rPr>
            <sz val="9"/>
            <color indexed="81"/>
            <rFont val="Tahoma"/>
            <family val="2"/>
          </rPr>
          <t>Primarily codable</t>
        </r>
        <r>
          <rPr>
            <b/>
            <sz val="9"/>
            <color indexed="81"/>
            <rFont val="Tahoma"/>
            <family val="2"/>
          </rPr>
          <t xml:space="preserve">
C - </t>
        </r>
        <r>
          <rPr>
            <sz val="9"/>
            <color indexed="81"/>
            <rFont val="Tahoma"/>
            <family val="2"/>
          </rPr>
          <t>Primarily configurable</t>
        </r>
        <r>
          <rPr>
            <b/>
            <sz val="9"/>
            <color indexed="81"/>
            <rFont val="Tahoma"/>
            <family val="2"/>
          </rPr>
          <t xml:space="preserve">
D - </t>
        </r>
        <r>
          <rPr>
            <sz val="9"/>
            <color indexed="81"/>
            <rFont val="Tahoma"/>
            <family val="2"/>
          </rPr>
          <t xml:space="preserve">No abstraction
</t>
        </r>
        <r>
          <rPr>
            <b/>
            <sz val="9"/>
            <color indexed="81"/>
            <rFont val="Tahoma"/>
            <family val="2"/>
          </rPr>
          <t>E -</t>
        </r>
        <r>
          <rPr>
            <sz val="9"/>
            <color indexed="81"/>
            <rFont val="Tahoma"/>
            <family val="2"/>
          </rPr>
          <t xml:space="preserve"> Not applicable</t>
        </r>
      </text>
    </comment>
    <comment ref="BS4" authorId="0" shapeId="0">
      <text>
        <r>
          <rPr>
            <b/>
            <sz val="9"/>
            <color indexed="81"/>
            <rFont val="Tahoma"/>
            <family val="2"/>
          </rPr>
          <t xml:space="preserve">A - </t>
        </r>
        <r>
          <rPr>
            <sz val="9"/>
            <color indexed="81"/>
            <rFont val="Tahoma"/>
            <family val="2"/>
          </rPr>
          <t>configurable with lots of plug-ins</t>
        </r>
        <r>
          <rPr>
            <b/>
            <sz val="9"/>
            <color indexed="81"/>
            <rFont val="Tahoma"/>
            <family val="2"/>
          </rPr>
          <t xml:space="preserve">
B - </t>
        </r>
        <r>
          <rPr>
            <sz val="9"/>
            <color indexed="81"/>
            <rFont val="Tahoma"/>
            <family val="2"/>
          </rPr>
          <t>lots of plug-ins available</t>
        </r>
        <r>
          <rPr>
            <b/>
            <sz val="9"/>
            <color indexed="81"/>
            <rFont val="Tahoma"/>
            <family val="2"/>
          </rPr>
          <t xml:space="preserve">
C -</t>
        </r>
        <r>
          <rPr>
            <sz val="9"/>
            <color indexed="81"/>
            <rFont val="Tahoma"/>
            <family val="2"/>
          </rPr>
          <t xml:space="preserve"> limited or no plug-ins</t>
        </r>
        <r>
          <rPr>
            <b/>
            <sz val="9"/>
            <color indexed="81"/>
            <rFont val="Tahoma"/>
            <family val="2"/>
          </rPr>
          <t xml:space="preserve">
D -</t>
        </r>
        <r>
          <rPr>
            <sz val="9"/>
            <color indexed="81"/>
            <rFont val="Tahoma"/>
            <family val="2"/>
          </rPr>
          <t xml:space="preserve"> not modular</t>
        </r>
      </text>
    </comment>
    <comment ref="BT4" authorId="0" shapeId="0">
      <text>
        <r>
          <rPr>
            <b/>
            <sz val="9"/>
            <color indexed="81"/>
            <rFont val="Tahoma"/>
            <family val="2"/>
          </rPr>
          <t>A -</t>
        </r>
        <r>
          <rPr>
            <sz val="9"/>
            <color indexed="81"/>
            <rFont val="Tahoma"/>
            <family val="2"/>
          </rPr>
          <t xml:space="preserve"> Adaptive</t>
        </r>
        <r>
          <rPr>
            <b/>
            <sz val="9"/>
            <color indexed="81"/>
            <rFont val="Tahoma"/>
            <family val="2"/>
          </rPr>
          <t xml:space="preserve">
B - </t>
        </r>
        <r>
          <rPr>
            <sz val="9"/>
            <color indexed="81"/>
            <rFont val="Tahoma"/>
            <family val="2"/>
          </rPr>
          <t>Mix of adaptive and passive</t>
        </r>
        <r>
          <rPr>
            <b/>
            <sz val="9"/>
            <color indexed="81"/>
            <rFont val="Tahoma"/>
            <family val="2"/>
          </rPr>
          <t xml:space="preserve">
C - </t>
        </r>
        <r>
          <rPr>
            <sz val="9"/>
            <color indexed="81"/>
            <rFont val="Tahoma"/>
            <family val="2"/>
          </rPr>
          <t>Passive</t>
        </r>
        <r>
          <rPr>
            <b/>
            <sz val="9"/>
            <color indexed="81"/>
            <rFont val="Tahoma"/>
            <family val="2"/>
          </rPr>
          <t xml:space="preserve">
D - </t>
        </r>
        <r>
          <rPr>
            <sz val="9"/>
            <color indexed="81"/>
            <rFont val="Tahoma"/>
            <family val="2"/>
          </rPr>
          <t>No automation</t>
        </r>
      </text>
    </comment>
    <comment ref="BU4" authorId="0" shapeId="0">
      <text>
        <r>
          <rPr>
            <b/>
            <sz val="9"/>
            <color indexed="81"/>
            <rFont val="Tahoma"/>
            <family val="2"/>
          </rPr>
          <t xml:space="preserve">Enables:
A - </t>
        </r>
        <r>
          <rPr>
            <sz val="9"/>
            <color indexed="81"/>
            <rFont val="Tahoma"/>
            <family val="2"/>
          </rPr>
          <t>Configurable+Codable</t>
        </r>
        <r>
          <rPr>
            <b/>
            <sz val="9"/>
            <color indexed="81"/>
            <rFont val="Tahoma"/>
            <family val="2"/>
          </rPr>
          <t xml:space="preserve">
B - </t>
        </r>
        <r>
          <rPr>
            <sz val="9"/>
            <color indexed="81"/>
            <rFont val="Tahoma"/>
            <family val="2"/>
          </rPr>
          <t>Primarily codable</t>
        </r>
        <r>
          <rPr>
            <b/>
            <sz val="9"/>
            <color indexed="81"/>
            <rFont val="Tahoma"/>
            <family val="2"/>
          </rPr>
          <t xml:space="preserve">
C - </t>
        </r>
        <r>
          <rPr>
            <sz val="9"/>
            <color indexed="81"/>
            <rFont val="Tahoma"/>
            <family val="2"/>
          </rPr>
          <t>Primarily configurable</t>
        </r>
        <r>
          <rPr>
            <b/>
            <sz val="9"/>
            <color indexed="81"/>
            <rFont val="Tahoma"/>
            <family val="2"/>
          </rPr>
          <t xml:space="preserve">
D - </t>
        </r>
        <r>
          <rPr>
            <sz val="9"/>
            <color indexed="81"/>
            <rFont val="Tahoma"/>
            <family val="2"/>
          </rPr>
          <t xml:space="preserve">No abstraction
</t>
        </r>
        <r>
          <rPr>
            <b/>
            <sz val="9"/>
            <color indexed="81"/>
            <rFont val="Tahoma"/>
            <family val="2"/>
          </rPr>
          <t>E -</t>
        </r>
        <r>
          <rPr>
            <sz val="9"/>
            <color indexed="81"/>
            <rFont val="Tahoma"/>
            <family val="2"/>
          </rPr>
          <t xml:space="preserve"> Not applicable</t>
        </r>
      </text>
    </comment>
    <comment ref="BW4" authorId="0" shapeId="0">
      <text>
        <r>
          <rPr>
            <b/>
            <sz val="9"/>
            <color indexed="81"/>
            <rFont val="Tahoma"/>
            <family val="2"/>
          </rPr>
          <t xml:space="preserve">A - </t>
        </r>
        <r>
          <rPr>
            <sz val="9"/>
            <color indexed="81"/>
            <rFont val="Tahoma"/>
            <family val="2"/>
          </rPr>
          <t>configurable with lots of plug-ins</t>
        </r>
        <r>
          <rPr>
            <b/>
            <sz val="9"/>
            <color indexed="81"/>
            <rFont val="Tahoma"/>
            <family val="2"/>
          </rPr>
          <t xml:space="preserve">
B - </t>
        </r>
        <r>
          <rPr>
            <sz val="9"/>
            <color indexed="81"/>
            <rFont val="Tahoma"/>
            <family val="2"/>
          </rPr>
          <t>lots of plug-ins available</t>
        </r>
        <r>
          <rPr>
            <b/>
            <sz val="9"/>
            <color indexed="81"/>
            <rFont val="Tahoma"/>
            <family val="2"/>
          </rPr>
          <t xml:space="preserve">
C -</t>
        </r>
        <r>
          <rPr>
            <sz val="9"/>
            <color indexed="81"/>
            <rFont val="Tahoma"/>
            <family val="2"/>
          </rPr>
          <t xml:space="preserve"> limited or no plug-ins</t>
        </r>
        <r>
          <rPr>
            <b/>
            <sz val="9"/>
            <color indexed="81"/>
            <rFont val="Tahoma"/>
            <family val="2"/>
          </rPr>
          <t xml:space="preserve">
D -</t>
        </r>
        <r>
          <rPr>
            <sz val="9"/>
            <color indexed="81"/>
            <rFont val="Tahoma"/>
            <family val="2"/>
          </rPr>
          <t xml:space="preserve"> not modular</t>
        </r>
      </text>
    </comment>
    <comment ref="BX4" authorId="0" shapeId="0">
      <text>
        <r>
          <rPr>
            <b/>
            <sz val="9"/>
            <color indexed="81"/>
            <rFont val="Tahoma"/>
            <family val="2"/>
          </rPr>
          <t>A -</t>
        </r>
        <r>
          <rPr>
            <sz val="9"/>
            <color indexed="81"/>
            <rFont val="Tahoma"/>
            <family val="2"/>
          </rPr>
          <t xml:space="preserve"> Adaptive</t>
        </r>
        <r>
          <rPr>
            <b/>
            <sz val="9"/>
            <color indexed="81"/>
            <rFont val="Tahoma"/>
            <family val="2"/>
          </rPr>
          <t xml:space="preserve">
B - </t>
        </r>
        <r>
          <rPr>
            <sz val="9"/>
            <color indexed="81"/>
            <rFont val="Tahoma"/>
            <family val="2"/>
          </rPr>
          <t>Mix of adaptive and passive</t>
        </r>
        <r>
          <rPr>
            <b/>
            <sz val="9"/>
            <color indexed="81"/>
            <rFont val="Tahoma"/>
            <family val="2"/>
          </rPr>
          <t xml:space="preserve">
C - </t>
        </r>
        <r>
          <rPr>
            <sz val="9"/>
            <color indexed="81"/>
            <rFont val="Tahoma"/>
            <family val="2"/>
          </rPr>
          <t>Passive</t>
        </r>
        <r>
          <rPr>
            <b/>
            <sz val="9"/>
            <color indexed="81"/>
            <rFont val="Tahoma"/>
            <family val="2"/>
          </rPr>
          <t xml:space="preserve">
D - </t>
        </r>
        <r>
          <rPr>
            <sz val="9"/>
            <color indexed="81"/>
            <rFont val="Tahoma"/>
            <family val="2"/>
          </rPr>
          <t>No automation</t>
        </r>
      </text>
    </comment>
    <comment ref="BY4" authorId="0" shapeId="0">
      <text>
        <r>
          <rPr>
            <b/>
            <sz val="9"/>
            <color indexed="81"/>
            <rFont val="Tahoma"/>
            <family val="2"/>
          </rPr>
          <t xml:space="preserve">Enables:
A - </t>
        </r>
        <r>
          <rPr>
            <sz val="9"/>
            <color indexed="81"/>
            <rFont val="Tahoma"/>
            <family val="2"/>
          </rPr>
          <t>Configurable+Codable</t>
        </r>
        <r>
          <rPr>
            <b/>
            <sz val="9"/>
            <color indexed="81"/>
            <rFont val="Tahoma"/>
            <family val="2"/>
          </rPr>
          <t xml:space="preserve">
B - </t>
        </r>
        <r>
          <rPr>
            <sz val="9"/>
            <color indexed="81"/>
            <rFont val="Tahoma"/>
            <family val="2"/>
          </rPr>
          <t>Primarily codable</t>
        </r>
        <r>
          <rPr>
            <b/>
            <sz val="9"/>
            <color indexed="81"/>
            <rFont val="Tahoma"/>
            <family val="2"/>
          </rPr>
          <t xml:space="preserve">
C - </t>
        </r>
        <r>
          <rPr>
            <sz val="9"/>
            <color indexed="81"/>
            <rFont val="Tahoma"/>
            <family val="2"/>
          </rPr>
          <t>Primarily configurable</t>
        </r>
        <r>
          <rPr>
            <b/>
            <sz val="9"/>
            <color indexed="81"/>
            <rFont val="Tahoma"/>
            <family val="2"/>
          </rPr>
          <t xml:space="preserve">
D - </t>
        </r>
        <r>
          <rPr>
            <sz val="9"/>
            <color indexed="81"/>
            <rFont val="Tahoma"/>
            <family val="2"/>
          </rPr>
          <t xml:space="preserve">No abstraction
</t>
        </r>
        <r>
          <rPr>
            <b/>
            <sz val="9"/>
            <color indexed="81"/>
            <rFont val="Tahoma"/>
            <family val="2"/>
          </rPr>
          <t>E -</t>
        </r>
        <r>
          <rPr>
            <sz val="9"/>
            <color indexed="81"/>
            <rFont val="Tahoma"/>
            <family val="2"/>
          </rPr>
          <t xml:space="preserve"> Not applicable</t>
        </r>
      </text>
    </comment>
    <comment ref="CA4" authorId="0" shapeId="0">
      <text>
        <r>
          <rPr>
            <b/>
            <sz val="9"/>
            <color indexed="81"/>
            <rFont val="Tahoma"/>
            <family val="2"/>
          </rPr>
          <t xml:space="preserve">A - </t>
        </r>
        <r>
          <rPr>
            <sz val="9"/>
            <color indexed="81"/>
            <rFont val="Tahoma"/>
            <family val="2"/>
          </rPr>
          <t>configurable with lots of plug-ins</t>
        </r>
        <r>
          <rPr>
            <b/>
            <sz val="9"/>
            <color indexed="81"/>
            <rFont val="Tahoma"/>
            <family val="2"/>
          </rPr>
          <t xml:space="preserve">
B - </t>
        </r>
        <r>
          <rPr>
            <sz val="9"/>
            <color indexed="81"/>
            <rFont val="Tahoma"/>
            <family val="2"/>
          </rPr>
          <t>lots of plug-ins available</t>
        </r>
        <r>
          <rPr>
            <b/>
            <sz val="9"/>
            <color indexed="81"/>
            <rFont val="Tahoma"/>
            <family val="2"/>
          </rPr>
          <t xml:space="preserve">
C -</t>
        </r>
        <r>
          <rPr>
            <sz val="9"/>
            <color indexed="81"/>
            <rFont val="Tahoma"/>
            <family val="2"/>
          </rPr>
          <t xml:space="preserve"> limited or no plug-ins</t>
        </r>
        <r>
          <rPr>
            <b/>
            <sz val="9"/>
            <color indexed="81"/>
            <rFont val="Tahoma"/>
            <family val="2"/>
          </rPr>
          <t xml:space="preserve">
D -</t>
        </r>
        <r>
          <rPr>
            <sz val="9"/>
            <color indexed="81"/>
            <rFont val="Tahoma"/>
            <family val="2"/>
          </rPr>
          <t xml:space="preserve"> not modular</t>
        </r>
      </text>
    </comment>
    <comment ref="CB4" authorId="0" shapeId="0">
      <text>
        <r>
          <rPr>
            <b/>
            <sz val="9"/>
            <color indexed="81"/>
            <rFont val="Tahoma"/>
            <family val="2"/>
          </rPr>
          <t>A -</t>
        </r>
        <r>
          <rPr>
            <sz val="9"/>
            <color indexed="81"/>
            <rFont val="Tahoma"/>
            <family val="2"/>
          </rPr>
          <t xml:space="preserve"> Adaptive</t>
        </r>
        <r>
          <rPr>
            <b/>
            <sz val="9"/>
            <color indexed="81"/>
            <rFont val="Tahoma"/>
            <family val="2"/>
          </rPr>
          <t xml:space="preserve">
B - </t>
        </r>
        <r>
          <rPr>
            <sz val="9"/>
            <color indexed="81"/>
            <rFont val="Tahoma"/>
            <family val="2"/>
          </rPr>
          <t>Mix of adaptive and passive</t>
        </r>
        <r>
          <rPr>
            <b/>
            <sz val="9"/>
            <color indexed="81"/>
            <rFont val="Tahoma"/>
            <family val="2"/>
          </rPr>
          <t xml:space="preserve">
C - </t>
        </r>
        <r>
          <rPr>
            <sz val="9"/>
            <color indexed="81"/>
            <rFont val="Tahoma"/>
            <family val="2"/>
          </rPr>
          <t>Passive</t>
        </r>
        <r>
          <rPr>
            <b/>
            <sz val="9"/>
            <color indexed="81"/>
            <rFont val="Tahoma"/>
            <family val="2"/>
          </rPr>
          <t xml:space="preserve">
D - </t>
        </r>
        <r>
          <rPr>
            <sz val="9"/>
            <color indexed="81"/>
            <rFont val="Tahoma"/>
            <family val="2"/>
          </rPr>
          <t>No automation</t>
        </r>
      </text>
    </comment>
    <comment ref="CC4" authorId="0" shapeId="0">
      <text>
        <r>
          <rPr>
            <b/>
            <sz val="9"/>
            <color indexed="81"/>
            <rFont val="Tahoma"/>
            <family val="2"/>
          </rPr>
          <t xml:space="preserve">Enables:
A - </t>
        </r>
        <r>
          <rPr>
            <sz val="9"/>
            <color indexed="81"/>
            <rFont val="Tahoma"/>
            <family val="2"/>
          </rPr>
          <t>Configurable+Codable</t>
        </r>
        <r>
          <rPr>
            <b/>
            <sz val="9"/>
            <color indexed="81"/>
            <rFont val="Tahoma"/>
            <family val="2"/>
          </rPr>
          <t xml:space="preserve">
B - </t>
        </r>
        <r>
          <rPr>
            <sz val="9"/>
            <color indexed="81"/>
            <rFont val="Tahoma"/>
            <family val="2"/>
          </rPr>
          <t>Primarily codable</t>
        </r>
        <r>
          <rPr>
            <b/>
            <sz val="9"/>
            <color indexed="81"/>
            <rFont val="Tahoma"/>
            <family val="2"/>
          </rPr>
          <t xml:space="preserve">
C - </t>
        </r>
        <r>
          <rPr>
            <sz val="9"/>
            <color indexed="81"/>
            <rFont val="Tahoma"/>
            <family val="2"/>
          </rPr>
          <t>Primarily configurable</t>
        </r>
        <r>
          <rPr>
            <b/>
            <sz val="9"/>
            <color indexed="81"/>
            <rFont val="Tahoma"/>
            <family val="2"/>
          </rPr>
          <t xml:space="preserve">
D - </t>
        </r>
        <r>
          <rPr>
            <sz val="9"/>
            <color indexed="81"/>
            <rFont val="Tahoma"/>
            <family val="2"/>
          </rPr>
          <t xml:space="preserve">No abstraction
</t>
        </r>
        <r>
          <rPr>
            <b/>
            <sz val="9"/>
            <color indexed="81"/>
            <rFont val="Tahoma"/>
            <family val="2"/>
          </rPr>
          <t>E -</t>
        </r>
        <r>
          <rPr>
            <sz val="9"/>
            <color indexed="81"/>
            <rFont val="Tahoma"/>
            <family val="2"/>
          </rPr>
          <t xml:space="preserve"> Not applicable</t>
        </r>
      </text>
    </comment>
    <comment ref="CE4" authorId="0" shapeId="0">
      <text>
        <r>
          <rPr>
            <b/>
            <sz val="9"/>
            <color indexed="81"/>
            <rFont val="Tahoma"/>
            <family val="2"/>
          </rPr>
          <t xml:space="preserve">A - </t>
        </r>
        <r>
          <rPr>
            <sz val="9"/>
            <color indexed="81"/>
            <rFont val="Tahoma"/>
            <family val="2"/>
          </rPr>
          <t>configurable with lots of plug-ins</t>
        </r>
        <r>
          <rPr>
            <b/>
            <sz val="9"/>
            <color indexed="81"/>
            <rFont val="Tahoma"/>
            <family val="2"/>
          </rPr>
          <t xml:space="preserve">
B - </t>
        </r>
        <r>
          <rPr>
            <sz val="9"/>
            <color indexed="81"/>
            <rFont val="Tahoma"/>
            <family val="2"/>
          </rPr>
          <t>lots of plug-ins available</t>
        </r>
        <r>
          <rPr>
            <b/>
            <sz val="9"/>
            <color indexed="81"/>
            <rFont val="Tahoma"/>
            <family val="2"/>
          </rPr>
          <t xml:space="preserve">
C -</t>
        </r>
        <r>
          <rPr>
            <sz val="9"/>
            <color indexed="81"/>
            <rFont val="Tahoma"/>
            <family val="2"/>
          </rPr>
          <t xml:space="preserve"> limited or no plug-ins</t>
        </r>
        <r>
          <rPr>
            <b/>
            <sz val="9"/>
            <color indexed="81"/>
            <rFont val="Tahoma"/>
            <family val="2"/>
          </rPr>
          <t xml:space="preserve">
D -</t>
        </r>
        <r>
          <rPr>
            <sz val="9"/>
            <color indexed="81"/>
            <rFont val="Tahoma"/>
            <family val="2"/>
          </rPr>
          <t xml:space="preserve"> not modular</t>
        </r>
      </text>
    </comment>
    <comment ref="CF4" authorId="0" shapeId="0">
      <text>
        <r>
          <rPr>
            <b/>
            <sz val="9"/>
            <color indexed="81"/>
            <rFont val="Tahoma"/>
            <family val="2"/>
          </rPr>
          <t>A -</t>
        </r>
        <r>
          <rPr>
            <sz val="9"/>
            <color indexed="81"/>
            <rFont val="Tahoma"/>
            <family val="2"/>
          </rPr>
          <t xml:space="preserve"> Adaptive</t>
        </r>
        <r>
          <rPr>
            <b/>
            <sz val="9"/>
            <color indexed="81"/>
            <rFont val="Tahoma"/>
            <family val="2"/>
          </rPr>
          <t xml:space="preserve">
B - </t>
        </r>
        <r>
          <rPr>
            <sz val="9"/>
            <color indexed="81"/>
            <rFont val="Tahoma"/>
            <family val="2"/>
          </rPr>
          <t>Mix of adaptive and passive</t>
        </r>
        <r>
          <rPr>
            <b/>
            <sz val="9"/>
            <color indexed="81"/>
            <rFont val="Tahoma"/>
            <family val="2"/>
          </rPr>
          <t xml:space="preserve">
C - </t>
        </r>
        <r>
          <rPr>
            <sz val="9"/>
            <color indexed="81"/>
            <rFont val="Tahoma"/>
            <family val="2"/>
          </rPr>
          <t>Passive</t>
        </r>
        <r>
          <rPr>
            <b/>
            <sz val="9"/>
            <color indexed="81"/>
            <rFont val="Tahoma"/>
            <family val="2"/>
          </rPr>
          <t xml:space="preserve">
D - </t>
        </r>
        <r>
          <rPr>
            <sz val="9"/>
            <color indexed="81"/>
            <rFont val="Tahoma"/>
            <family val="2"/>
          </rPr>
          <t>No automation</t>
        </r>
      </text>
    </comment>
    <comment ref="CG4" authorId="0" shapeId="0">
      <text>
        <r>
          <rPr>
            <b/>
            <sz val="9"/>
            <color indexed="81"/>
            <rFont val="Tahoma"/>
            <family val="2"/>
          </rPr>
          <t xml:space="preserve">Enables:
A - </t>
        </r>
        <r>
          <rPr>
            <sz val="9"/>
            <color indexed="81"/>
            <rFont val="Tahoma"/>
            <family val="2"/>
          </rPr>
          <t>Configurable+Codable</t>
        </r>
        <r>
          <rPr>
            <b/>
            <sz val="9"/>
            <color indexed="81"/>
            <rFont val="Tahoma"/>
            <family val="2"/>
          </rPr>
          <t xml:space="preserve">
B - </t>
        </r>
        <r>
          <rPr>
            <sz val="9"/>
            <color indexed="81"/>
            <rFont val="Tahoma"/>
            <family val="2"/>
          </rPr>
          <t>Primarily codable</t>
        </r>
        <r>
          <rPr>
            <b/>
            <sz val="9"/>
            <color indexed="81"/>
            <rFont val="Tahoma"/>
            <family val="2"/>
          </rPr>
          <t xml:space="preserve">
C - </t>
        </r>
        <r>
          <rPr>
            <sz val="9"/>
            <color indexed="81"/>
            <rFont val="Tahoma"/>
            <family val="2"/>
          </rPr>
          <t>Primarily configurable</t>
        </r>
        <r>
          <rPr>
            <b/>
            <sz val="9"/>
            <color indexed="81"/>
            <rFont val="Tahoma"/>
            <family val="2"/>
          </rPr>
          <t xml:space="preserve">
D - </t>
        </r>
        <r>
          <rPr>
            <sz val="9"/>
            <color indexed="81"/>
            <rFont val="Tahoma"/>
            <family val="2"/>
          </rPr>
          <t xml:space="preserve">No abstraction
</t>
        </r>
        <r>
          <rPr>
            <b/>
            <sz val="9"/>
            <color indexed="81"/>
            <rFont val="Tahoma"/>
            <family val="2"/>
          </rPr>
          <t>E -</t>
        </r>
        <r>
          <rPr>
            <sz val="9"/>
            <color indexed="81"/>
            <rFont val="Tahoma"/>
            <family val="2"/>
          </rPr>
          <t xml:space="preserve"> Not applicable</t>
        </r>
      </text>
    </comment>
    <comment ref="CI4" authorId="0" shapeId="0">
      <text>
        <r>
          <rPr>
            <b/>
            <sz val="9"/>
            <color indexed="81"/>
            <rFont val="Tahoma"/>
            <family val="2"/>
          </rPr>
          <t xml:space="preserve">A - </t>
        </r>
        <r>
          <rPr>
            <sz val="9"/>
            <color indexed="81"/>
            <rFont val="Tahoma"/>
            <family val="2"/>
          </rPr>
          <t>configurable with lots of plug-ins</t>
        </r>
        <r>
          <rPr>
            <b/>
            <sz val="9"/>
            <color indexed="81"/>
            <rFont val="Tahoma"/>
            <family val="2"/>
          </rPr>
          <t xml:space="preserve">
B - </t>
        </r>
        <r>
          <rPr>
            <sz val="9"/>
            <color indexed="81"/>
            <rFont val="Tahoma"/>
            <family val="2"/>
          </rPr>
          <t>lots of plug-ins available</t>
        </r>
        <r>
          <rPr>
            <b/>
            <sz val="9"/>
            <color indexed="81"/>
            <rFont val="Tahoma"/>
            <family val="2"/>
          </rPr>
          <t xml:space="preserve">
C -</t>
        </r>
        <r>
          <rPr>
            <sz val="9"/>
            <color indexed="81"/>
            <rFont val="Tahoma"/>
            <family val="2"/>
          </rPr>
          <t xml:space="preserve"> limited or no plug-ins</t>
        </r>
        <r>
          <rPr>
            <b/>
            <sz val="9"/>
            <color indexed="81"/>
            <rFont val="Tahoma"/>
            <family val="2"/>
          </rPr>
          <t xml:space="preserve">
D -</t>
        </r>
        <r>
          <rPr>
            <sz val="9"/>
            <color indexed="81"/>
            <rFont val="Tahoma"/>
            <family val="2"/>
          </rPr>
          <t xml:space="preserve"> not modular</t>
        </r>
      </text>
    </comment>
    <comment ref="CJ4" authorId="0" shapeId="0">
      <text>
        <r>
          <rPr>
            <b/>
            <sz val="9"/>
            <color indexed="81"/>
            <rFont val="Tahoma"/>
            <family val="2"/>
          </rPr>
          <t>A -</t>
        </r>
        <r>
          <rPr>
            <sz val="9"/>
            <color indexed="81"/>
            <rFont val="Tahoma"/>
            <family val="2"/>
          </rPr>
          <t xml:space="preserve"> Adaptive</t>
        </r>
        <r>
          <rPr>
            <b/>
            <sz val="9"/>
            <color indexed="81"/>
            <rFont val="Tahoma"/>
            <family val="2"/>
          </rPr>
          <t xml:space="preserve">
B - </t>
        </r>
        <r>
          <rPr>
            <sz val="9"/>
            <color indexed="81"/>
            <rFont val="Tahoma"/>
            <family val="2"/>
          </rPr>
          <t>Mix of adaptive and passive</t>
        </r>
        <r>
          <rPr>
            <b/>
            <sz val="9"/>
            <color indexed="81"/>
            <rFont val="Tahoma"/>
            <family val="2"/>
          </rPr>
          <t xml:space="preserve">
C - </t>
        </r>
        <r>
          <rPr>
            <sz val="9"/>
            <color indexed="81"/>
            <rFont val="Tahoma"/>
            <family val="2"/>
          </rPr>
          <t>Passive</t>
        </r>
        <r>
          <rPr>
            <b/>
            <sz val="9"/>
            <color indexed="81"/>
            <rFont val="Tahoma"/>
            <family val="2"/>
          </rPr>
          <t xml:space="preserve">
D - </t>
        </r>
        <r>
          <rPr>
            <sz val="9"/>
            <color indexed="81"/>
            <rFont val="Tahoma"/>
            <family val="2"/>
          </rPr>
          <t>No automation</t>
        </r>
      </text>
    </comment>
    <comment ref="CK4" authorId="0" shapeId="0">
      <text>
        <r>
          <rPr>
            <b/>
            <sz val="9"/>
            <color indexed="81"/>
            <rFont val="Tahoma"/>
            <family val="2"/>
          </rPr>
          <t xml:space="preserve">Enables:
A - </t>
        </r>
        <r>
          <rPr>
            <sz val="9"/>
            <color indexed="81"/>
            <rFont val="Tahoma"/>
            <family val="2"/>
          </rPr>
          <t>Configurable+Codable</t>
        </r>
        <r>
          <rPr>
            <b/>
            <sz val="9"/>
            <color indexed="81"/>
            <rFont val="Tahoma"/>
            <family val="2"/>
          </rPr>
          <t xml:space="preserve">
B - </t>
        </r>
        <r>
          <rPr>
            <sz val="9"/>
            <color indexed="81"/>
            <rFont val="Tahoma"/>
            <family val="2"/>
          </rPr>
          <t>Primarily codable</t>
        </r>
        <r>
          <rPr>
            <b/>
            <sz val="9"/>
            <color indexed="81"/>
            <rFont val="Tahoma"/>
            <family val="2"/>
          </rPr>
          <t xml:space="preserve">
C - </t>
        </r>
        <r>
          <rPr>
            <sz val="9"/>
            <color indexed="81"/>
            <rFont val="Tahoma"/>
            <family val="2"/>
          </rPr>
          <t>Primarily configurable</t>
        </r>
        <r>
          <rPr>
            <b/>
            <sz val="9"/>
            <color indexed="81"/>
            <rFont val="Tahoma"/>
            <family val="2"/>
          </rPr>
          <t xml:space="preserve">
D - </t>
        </r>
        <r>
          <rPr>
            <sz val="9"/>
            <color indexed="81"/>
            <rFont val="Tahoma"/>
            <family val="2"/>
          </rPr>
          <t xml:space="preserve">No abstraction
</t>
        </r>
        <r>
          <rPr>
            <b/>
            <sz val="9"/>
            <color indexed="81"/>
            <rFont val="Tahoma"/>
            <family val="2"/>
          </rPr>
          <t>E -</t>
        </r>
        <r>
          <rPr>
            <sz val="9"/>
            <color indexed="81"/>
            <rFont val="Tahoma"/>
            <family val="2"/>
          </rPr>
          <t xml:space="preserve"> Not applicable</t>
        </r>
      </text>
    </comment>
    <comment ref="CM4" authorId="0" shapeId="0">
      <text>
        <r>
          <rPr>
            <b/>
            <sz val="9"/>
            <color indexed="81"/>
            <rFont val="Tahoma"/>
            <family val="2"/>
          </rPr>
          <t xml:space="preserve">A - </t>
        </r>
        <r>
          <rPr>
            <sz val="9"/>
            <color indexed="81"/>
            <rFont val="Tahoma"/>
            <family val="2"/>
          </rPr>
          <t>configurable with lots of plug-ins</t>
        </r>
        <r>
          <rPr>
            <b/>
            <sz val="9"/>
            <color indexed="81"/>
            <rFont val="Tahoma"/>
            <family val="2"/>
          </rPr>
          <t xml:space="preserve">
B - </t>
        </r>
        <r>
          <rPr>
            <sz val="9"/>
            <color indexed="81"/>
            <rFont val="Tahoma"/>
            <family val="2"/>
          </rPr>
          <t>lots of plug-ins available</t>
        </r>
        <r>
          <rPr>
            <b/>
            <sz val="9"/>
            <color indexed="81"/>
            <rFont val="Tahoma"/>
            <family val="2"/>
          </rPr>
          <t xml:space="preserve">
C -</t>
        </r>
        <r>
          <rPr>
            <sz val="9"/>
            <color indexed="81"/>
            <rFont val="Tahoma"/>
            <family val="2"/>
          </rPr>
          <t xml:space="preserve"> limited or no plug-ins</t>
        </r>
        <r>
          <rPr>
            <b/>
            <sz val="9"/>
            <color indexed="81"/>
            <rFont val="Tahoma"/>
            <family val="2"/>
          </rPr>
          <t xml:space="preserve">
D -</t>
        </r>
        <r>
          <rPr>
            <sz val="9"/>
            <color indexed="81"/>
            <rFont val="Tahoma"/>
            <family val="2"/>
          </rPr>
          <t xml:space="preserve"> not modular</t>
        </r>
      </text>
    </comment>
    <comment ref="CN4" authorId="0" shapeId="0">
      <text>
        <r>
          <rPr>
            <b/>
            <sz val="9"/>
            <color indexed="81"/>
            <rFont val="Tahoma"/>
            <family val="2"/>
          </rPr>
          <t>A -</t>
        </r>
        <r>
          <rPr>
            <sz val="9"/>
            <color indexed="81"/>
            <rFont val="Tahoma"/>
            <family val="2"/>
          </rPr>
          <t xml:space="preserve"> Adaptive</t>
        </r>
        <r>
          <rPr>
            <b/>
            <sz val="9"/>
            <color indexed="81"/>
            <rFont val="Tahoma"/>
            <family val="2"/>
          </rPr>
          <t xml:space="preserve">
B - </t>
        </r>
        <r>
          <rPr>
            <sz val="9"/>
            <color indexed="81"/>
            <rFont val="Tahoma"/>
            <family val="2"/>
          </rPr>
          <t>Mix of adaptive and passive</t>
        </r>
        <r>
          <rPr>
            <b/>
            <sz val="9"/>
            <color indexed="81"/>
            <rFont val="Tahoma"/>
            <family val="2"/>
          </rPr>
          <t xml:space="preserve">
C - </t>
        </r>
        <r>
          <rPr>
            <sz val="9"/>
            <color indexed="81"/>
            <rFont val="Tahoma"/>
            <family val="2"/>
          </rPr>
          <t>Passive</t>
        </r>
        <r>
          <rPr>
            <b/>
            <sz val="9"/>
            <color indexed="81"/>
            <rFont val="Tahoma"/>
            <family val="2"/>
          </rPr>
          <t xml:space="preserve">
D - </t>
        </r>
        <r>
          <rPr>
            <sz val="9"/>
            <color indexed="81"/>
            <rFont val="Tahoma"/>
            <family val="2"/>
          </rPr>
          <t>No automation</t>
        </r>
      </text>
    </comment>
    <comment ref="CO4" authorId="0" shapeId="0">
      <text>
        <r>
          <rPr>
            <b/>
            <sz val="9"/>
            <color indexed="81"/>
            <rFont val="Tahoma"/>
            <family val="2"/>
          </rPr>
          <t xml:space="preserve">Enables:
A - </t>
        </r>
        <r>
          <rPr>
            <sz val="9"/>
            <color indexed="81"/>
            <rFont val="Tahoma"/>
            <family val="2"/>
          </rPr>
          <t>Configurable+Codable</t>
        </r>
        <r>
          <rPr>
            <b/>
            <sz val="9"/>
            <color indexed="81"/>
            <rFont val="Tahoma"/>
            <family val="2"/>
          </rPr>
          <t xml:space="preserve">
B - </t>
        </r>
        <r>
          <rPr>
            <sz val="9"/>
            <color indexed="81"/>
            <rFont val="Tahoma"/>
            <family val="2"/>
          </rPr>
          <t>Primarily codable</t>
        </r>
        <r>
          <rPr>
            <b/>
            <sz val="9"/>
            <color indexed="81"/>
            <rFont val="Tahoma"/>
            <family val="2"/>
          </rPr>
          <t xml:space="preserve">
C - </t>
        </r>
        <r>
          <rPr>
            <sz val="9"/>
            <color indexed="81"/>
            <rFont val="Tahoma"/>
            <family val="2"/>
          </rPr>
          <t>Primarily configurable</t>
        </r>
        <r>
          <rPr>
            <b/>
            <sz val="9"/>
            <color indexed="81"/>
            <rFont val="Tahoma"/>
            <family val="2"/>
          </rPr>
          <t xml:space="preserve">
D - </t>
        </r>
        <r>
          <rPr>
            <sz val="9"/>
            <color indexed="81"/>
            <rFont val="Tahoma"/>
            <family val="2"/>
          </rPr>
          <t xml:space="preserve">No abstraction
</t>
        </r>
        <r>
          <rPr>
            <b/>
            <sz val="9"/>
            <color indexed="81"/>
            <rFont val="Tahoma"/>
            <family val="2"/>
          </rPr>
          <t>E -</t>
        </r>
        <r>
          <rPr>
            <sz val="9"/>
            <color indexed="81"/>
            <rFont val="Tahoma"/>
            <family val="2"/>
          </rPr>
          <t xml:space="preserve"> Not applicable</t>
        </r>
      </text>
    </comment>
    <comment ref="CQ4" authorId="0" shapeId="0">
      <text>
        <r>
          <rPr>
            <b/>
            <sz val="9"/>
            <color indexed="81"/>
            <rFont val="Tahoma"/>
            <family val="2"/>
          </rPr>
          <t xml:space="preserve">A - </t>
        </r>
        <r>
          <rPr>
            <sz val="9"/>
            <color indexed="81"/>
            <rFont val="Tahoma"/>
            <family val="2"/>
          </rPr>
          <t>configurable with lots of plug-ins</t>
        </r>
        <r>
          <rPr>
            <b/>
            <sz val="9"/>
            <color indexed="81"/>
            <rFont val="Tahoma"/>
            <family val="2"/>
          </rPr>
          <t xml:space="preserve">
B - </t>
        </r>
        <r>
          <rPr>
            <sz val="9"/>
            <color indexed="81"/>
            <rFont val="Tahoma"/>
            <family val="2"/>
          </rPr>
          <t>lots of plug-ins available</t>
        </r>
        <r>
          <rPr>
            <b/>
            <sz val="9"/>
            <color indexed="81"/>
            <rFont val="Tahoma"/>
            <family val="2"/>
          </rPr>
          <t xml:space="preserve">
C -</t>
        </r>
        <r>
          <rPr>
            <sz val="9"/>
            <color indexed="81"/>
            <rFont val="Tahoma"/>
            <family val="2"/>
          </rPr>
          <t xml:space="preserve"> limited or no plug-ins</t>
        </r>
        <r>
          <rPr>
            <b/>
            <sz val="9"/>
            <color indexed="81"/>
            <rFont val="Tahoma"/>
            <family val="2"/>
          </rPr>
          <t xml:space="preserve">
D -</t>
        </r>
        <r>
          <rPr>
            <sz val="9"/>
            <color indexed="81"/>
            <rFont val="Tahoma"/>
            <family val="2"/>
          </rPr>
          <t xml:space="preserve"> not modular</t>
        </r>
      </text>
    </comment>
    <comment ref="CR4" authorId="0" shapeId="0">
      <text>
        <r>
          <rPr>
            <b/>
            <sz val="9"/>
            <color indexed="81"/>
            <rFont val="Tahoma"/>
            <family val="2"/>
          </rPr>
          <t>A -</t>
        </r>
        <r>
          <rPr>
            <sz val="9"/>
            <color indexed="81"/>
            <rFont val="Tahoma"/>
            <family val="2"/>
          </rPr>
          <t xml:space="preserve"> Adaptive</t>
        </r>
        <r>
          <rPr>
            <b/>
            <sz val="9"/>
            <color indexed="81"/>
            <rFont val="Tahoma"/>
            <family val="2"/>
          </rPr>
          <t xml:space="preserve">
B - </t>
        </r>
        <r>
          <rPr>
            <sz val="9"/>
            <color indexed="81"/>
            <rFont val="Tahoma"/>
            <family val="2"/>
          </rPr>
          <t>Mix of adaptive and passive</t>
        </r>
        <r>
          <rPr>
            <b/>
            <sz val="9"/>
            <color indexed="81"/>
            <rFont val="Tahoma"/>
            <family val="2"/>
          </rPr>
          <t xml:space="preserve">
C - </t>
        </r>
        <r>
          <rPr>
            <sz val="9"/>
            <color indexed="81"/>
            <rFont val="Tahoma"/>
            <family val="2"/>
          </rPr>
          <t>Passive</t>
        </r>
        <r>
          <rPr>
            <b/>
            <sz val="9"/>
            <color indexed="81"/>
            <rFont val="Tahoma"/>
            <family val="2"/>
          </rPr>
          <t xml:space="preserve">
D - </t>
        </r>
        <r>
          <rPr>
            <sz val="9"/>
            <color indexed="81"/>
            <rFont val="Tahoma"/>
            <family val="2"/>
          </rPr>
          <t>No automation</t>
        </r>
      </text>
    </comment>
    <comment ref="CS4" authorId="0" shapeId="0">
      <text>
        <r>
          <rPr>
            <b/>
            <sz val="9"/>
            <color indexed="81"/>
            <rFont val="Tahoma"/>
            <family val="2"/>
          </rPr>
          <t xml:space="preserve">Enables:
A - </t>
        </r>
        <r>
          <rPr>
            <sz val="9"/>
            <color indexed="81"/>
            <rFont val="Tahoma"/>
            <family val="2"/>
          </rPr>
          <t>Configurable+Codable</t>
        </r>
        <r>
          <rPr>
            <b/>
            <sz val="9"/>
            <color indexed="81"/>
            <rFont val="Tahoma"/>
            <family val="2"/>
          </rPr>
          <t xml:space="preserve">
B - </t>
        </r>
        <r>
          <rPr>
            <sz val="9"/>
            <color indexed="81"/>
            <rFont val="Tahoma"/>
            <family val="2"/>
          </rPr>
          <t>Primarily codable</t>
        </r>
        <r>
          <rPr>
            <b/>
            <sz val="9"/>
            <color indexed="81"/>
            <rFont val="Tahoma"/>
            <family val="2"/>
          </rPr>
          <t xml:space="preserve">
C - </t>
        </r>
        <r>
          <rPr>
            <sz val="9"/>
            <color indexed="81"/>
            <rFont val="Tahoma"/>
            <family val="2"/>
          </rPr>
          <t>Primarily configurable</t>
        </r>
        <r>
          <rPr>
            <b/>
            <sz val="9"/>
            <color indexed="81"/>
            <rFont val="Tahoma"/>
            <family val="2"/>
          </rPr>
          <t xml:space="preserve">
D - </t>
        </r>
        <r>
          <rPr>
            <sz val="9"/>
            <color indexed="81"/>
            <rFont val="Tahoma"/>
            <family val="2"/>
          </rPr>
          <t xml:space="preserve">No abstraction
</t>
        </r>
        <r>
          <rPr>
            <b/>
            <sz val="9"/>
            <color indexed="81"/>
            <rFont val="Tahoma"/>
            <family val="2"/>
          </rPr>
          <t>E -</t>
        </r>
        <r>
          <rPr>
            <sz val="9"/>
            <color indexed="81"/>
            <rFont val="Tahoma"/>
            <family val="2"/>
          </rPr>
          <t xml:space="preserve"> Not applicable</t>
        </r>
      </text>
    </comment>
    <comment ref="CU4" authorId="0" shapeId="0">
      <text>
        <r>
          <rPr>
            <b/>
            <sz val="9"/>
            <color indexed="81"/>
            <rFont val="Tahoma"/>
            <family val="2"/>
          </rPr>
          <t xml:space="preserve">A - </t>
        </r>
        <r>
          <rPr>
            <sz val="9"/>
            <color indexed="81"/>
            <rFont val="Tahoma"/>
            <family val="2"/>
          </rPr>
          <t>configurable with lots of plug-ins</t>
        </r>
        <r>
          <rPr>
            <b/>
            <sz val="9"/>
            <color indexed="81"/>
            <rFont val="Tahoma"/>
            <family val="2"/>
          </rPr>
          <t xml:space="preserve">
B - </t>
        </r>
        <r>
          <rPr>
            <sz val="9"/>
            <color indexed="81"/>
            <rFont val="Tahoma"/>
            <family val="2"/>
          </rPr>
          <t>lots of plug-ins available</t>
        </r>
        <r>
          <rPr>
            <b/>
            <sz val="9"/>
            <color indexed="81"/>
            <rFont val="Tahoma"/>
            <family val="2"/>
          </rPr>
          <t xml:space="preserve">
C -</t>
        </r>
        <r>
          <rPr>
            <sz val="9"/>
            <color indexed="81"/>
            <rFont val="Tahoma"/>
            <family val="2"/>
          </rPr>
          <t xml:space="preserve"> limited or no plug-ins</t>
        </r>
        <r>
          <rPr>
            <b/>
            <sz val="9"/>
            <color indexed="81"/>
            <rFont val="Tahoma"/>
            <family val="2"/>
          </rPr>
          <t xml:space="preserve">
D -</t>
        </r>
        <r>
          <rPr>
            <sz val="9"/>
            <color indexed="81"/>
            <rFont val="Tahoma"/>
            <family val="2"/>
          </rPr>
          <t xml:space="preserve"> not modular</t>
        </r>
      </text>
    </comment>
    <comment ref="CV4" authorId="0" shapeId="0">
      <text>
        <r>
          <rPr>
            <b/>
            <sz val="9"/>
            <color indexed="81"/>
            <rFont val="Tahoma"/>
            <family val="2"/>
          </rPr>
          <t>A -</t>
        </r>
        <r>
          <rPr>
            <sz val="9"/>
            <color indexed="81"/>
            <rFont val="Tahoma"/>
            <family val="2"/>
          </rPr>
          <t xml:space="preserve"> Adaptive</t>
        </r>
        <r>
          <rPr>
            <b/>
            <sz val="9"/>
            <color indexed="81"/>
            <rFont val="Tahoma"/>
            <family val="2"/>
          </rPr>
          <t xml:space="preserve">
B - </t>
        </r>
        <r>
          <rPr>
            <sz val="9"/>
            <color indexed="81"/>
            <rFont val="Tahoma"/>
            <family val="2"/>
          </rPr>
          <t>Mix of adaptive and passive</t>
        </r>
        <r>
          <rPr>
            <b/>
            <sz val="9"/>
            <color indexed="81"/>
            <rFont val="Tahoma"/>
            <family val="2"/>
          </rPr>
          <t xml:space="preserve">
C - </t>
        </r>
        <r>
          <rPr>
            <sz val="9"/>
            <color indexed="81"/>
            <rFont val="Tahoma"/>
            <family val="2"/>
          </rPr>
          <t>Passive</t>
        </r>
        <r>
          <rPr>
            <b/>
            <sz val="9"/>
            <color indexed="81"/>
            <rFont val="Tahoma"/>
            <family val="2"/>
          </rPr>
          <t xml:space="preserve">
D - </t>
        </r>
        <r>
          <rPr>
            <sz val="9"/>
            <color indexed="81"/>
            <rFont val="Tahoma"/>
            <family val="2"/>
          </rPr>
          <t>No automation</t>
        </r>
      </text>
    </comment>
    <comment ref="CW4" authorId="0" shapeId="0">
      <text>
        <r>
          <rPr>
            <b/>
            <sz val="9"/>
            <color indexed="81"/>
            <rFont val="Tahoma"/>
            <family val="2"/>
          </rPr>
          <t xml:space="preserve">Enables:
A - </t>
        </r>
        <r>
          <rPr>
            <sz val="9"/>
            <color indexed="81"/>
            <rFont val="Tahoma"/>
            <family val="2"/>
          </rPr>
          <t>Configurable+Codable</t>
        </r>
        <r>
          <rPr>
            <b/>
            <sz val="9"/>
            <color indexed="81"/>
            <rFont val="Tahoma"/>
            <family val="2"/>
          </rPr>
          <t xml:space="preserve">
B - </t>
        </r>
        <r>
          <rPr>
            <sz val="9"/>
            <color indexed="81"/>
            <rFont val="Tahoma"/>
            <family val="2"/>
          </rPr>
          <t>Primarily codable</t>
        </r>
        <r>
          <rPr>
            <b/>
            <sz val="9"/>
            <color indexed="81"/>
            <rFont val="Tahoma"/>
            <family val="2"/>
          </rPr>
          <t xml:space="preserve">
C - </t>
        </r>
        <r>
          <rPr>
            <sz val="9"/>
            <color indexed="81"/>
            <rFont val="Tahoma"/>
            <family val="2"/>
          </rPr>
          <t>Primarily configurable</t>
        </r>
        <r>
          <rPr>
            <b/>
            <sz val="9"/>
            <color indexed="81"/>
            <rFont val="Tahoma"/>
            <family val="2"/>
          </rPr>
          <t xml:space="preserve">
D - </t>
        </r>
        <r>
          <rPr>
            <sz val="9"/>
            <color indexed="81"/>
            <rFont val="Tahoma"/>
            <family val="2"/>
          </rPr>
          <t xml:space="preserve">No abstraction
</t>
        </r>
        <r>
          <rPr>
            <b/>
            <sz val="9"/>
            <color indexed="81"/>
            <rFont val="Tahoma"/>
            <family val="2"/>
          </rPr>
          <t>E -</t>
        </r>
        <r>
          <rPr>
            <sz val="9"/>
            <color indexed="81"/>
            <rFont val="Tahoma"/>
            <family val="2"/>
          </rPr>
          <t xml:space="preserve"> Not applicable</t>
        </r>
      </text>
    </comment>
    <comment ref="CY4" authorId="0" shapeId="0">
      <text>
        <r>
          <rPr>
            <b/>
            <sz val="9"/>
            <color indexed="81"/>
            <rFont val="Tahoma"/>
            <family val="2"/>
          </rPr>
          <t xml:space="preserve">A - </t>
        </r>
        <r>
          <rPr>
            <sz val="9"/>
            <color indexed="81"/>
            <rFont val="Tahoma"/>
            <family val="2"/>
          </rPr>
          <t>configurable with lots of plug-ins</t>
        </r>
        <r>
          <rPr>
            <b/>
            <sz val="9"/>
            <color indexed="81"/>
            <rFont val="Tahoma"/>
            <family val="2"/>
          </rPr>
          <t xml:space="preserve">
B - </t>
        </r>
        <r>
          <rPr>
            <sz val="9"/>
            <color indexed="81"/>
            <rFont val="Tahoma"/>
            <family val="2"/>
          </rPr>
          <t>lots of plug-ins available</t>
        </r>
        <r>
          <rPr>
            <b/>
            <sz val="9"/>
            <color indexed="81"/>
            <rFont val="Tahoma"/>
            <family val="2"/>
          </rPr>
          <t xml:space="preserve">
C -</t>
        </r>
        <r>
          <rPr>
            <sz val="9"/>
            <color indexed="81"/>
            <rFont val="Tahoma"/>
            <family val="2"/>
          </rPr>
          <t xml:space="preserve"> limited or no plug-ins</t>
        </r>
        <r>
          <rPr>
            <b/>
            <sz val="9"/>
            <color indexed="81"/>
            <rFont val="Tahoma"/>
            <family val="2"/>
          </rPr>
          <t xml:space="preserve">
D -</t>
        </r>
        <r>
          <rPr>
            <sz val="9"/>
            <color indexed="81"/>
            <rFont val="Tahoma"/>
            <family val="2"/>
          </rPr>
          <t xml:space="preserve"> not modular</t>
        </r>
      </text>
    </comment>
    <comment ref="CZ4" authorId="0" shapeId="0">
      <text>
        <r>
          <rPr>
            <b/>
            <sz val="9"/>
            <color indexed="81"/>
            <rFont val="Tahoma"/>
            <family val="2"/>
          </rPr>
          <t>A -</t>
        </r>
        <r>
          <rPr>
            <sz val="9"/>
            <color indexed="81"/>
            <rFont val="Tahoma"/>
            <family val="2"/>
          </rPr>
          <t xml:space="preserve"> Adaptive</t>
        </r>
        <r>
          <rPr>
            <b/>
            <sz val="9"/>
            <color indexed="81"/>
            <rFont val="Tahoma"/>
            <family val="2"/>
          </rPr>
          <t xml:space="preserve">
B - </t>
        </r>
        <r>
          <rPr>
            <sz val="9"/>
            <color indexed="81"/>
            <rFont val="Tahoma"/>
            <family val="2"/>
          </rPr>
          <t>Mix of adaptive and passive</t>
        </r>
        <r>
          <rPr>
            <b/>
            <sz val="9"/>
            <color indexed="81"/>
            <rFont val="Tahoma"/>
            <family val="2"/>
          </rPr>
          <t xml:space="preserve">
C - </t>
        </r>
        <r>
          <rPr>
            <sz val="9"/>
            <color indexed="81"/>
            <rFont val="Tahoma"/>
            <family val="2"/>
          </rPr>
          <t>Passive</t>
        </r>
        <r>
          <rPr>
            <b/>
            <sz val="9"/>
            <color indexed="81"/>
            <rFont val="Tahoma"/>
            <family val="2"/>
          </rPr>
          <t xml:space="preserve">
D - </t>
        </r>
        <r>
          <rPr>
            <sz val="9"/>
            <color indexed="81"/>
            <rFont val="Tahoma"/>
            <family val="2"/>
          </rPr>
          <t>No automation</t>
        </r>
      </text>
    </comment>
    <comment ref="DA4" authorId="0" shapeId="0">
      <text>
        <r>
          <rPr>
            <b/>
            <sz val="9"/>
            <color indexed="81"/>
            <rFont val="Tahoma"/>
            <family val="2"/>
          </rPr>
          <t xml:space="preserve">Enables:
A - </t>
        </r>
        <r>
          <rPr>
            <sz val="9"/>
            <color indexed="81"/>
            <rFont val="Tahoma"/>
            <family val="2"/>
          </rPr>
          <t>Configurable+Codable</t>
        </r>
        <r>
          <rPr>
            <b/>
            <sz val="9"/>
            <color indexed="81"/>
            <rFont val="Tahoma"/>
            <family val="2"/>
          </rPr>
          <t xml:space="preserve">
B - </t>
        </r>
        <r>
          <rPr>
            <sz val="9"/>
            <color indexed="81"/>
            <rFont val="Tahoma"/>
            <family val="2"/>
          </rPr>
          <t>Primarily codable</t>
        </r>
        <r>
          <rPr>
            <b/>
            <sz val="9"/>
            <color indexed="81"/>
            <rFont val="Tahoma"/>
            <family val="2"/>
          </rPr>
          <t xml:space="preserve">
C - </t>
        </r>
        <r>
          <rPr>
            <sz val="9"/>
            <color indexed="81"/>
            <rFont val="Tahoma"/>
            <family val="2"/>
          </rPr>
          <t>Primarily configurable</t>
        </r>
        <r>
          <rPr>
            <b/>
            <sz val="9"/>
            <color indexed="81"/>
            <rFont val="Tahoma"/>
            <family val="2"/>
          </rPr>
          <t xml:space="preserve">
D - </t>
        </r>
        <r>
          <rPr>
            <sz val="9"/>
            <color indexed="81"/>
            <rFont val="Tahoma"/>
            <family val="2"/>
          </rPr>
          <t xml:space="preserve">No abstraction
</t>
        </r>
        <r>
          <rPr>
            <b/>
            <sz val="9"/>
            <color indexed="81"/>
            <rFont val="Tahoma"/>
            <family val="2"/>
          </rPr>
          <t>E -</t>
        </r>
        <r>
          <rPr>
            <sz val="9"/>
            <color indexed="81"/>
            <rFont val="Tahoma"/>
            <family val="2"/>
          </rPr>
          <t xml:space="preserve"> Not applicable</t>
        </r>
      </text>
    </comment>
    <comment ref="DC4" authorId="0" shapeId="0">
      <text>
        <r>
          <rPr>
            <b/>
            <sz val="9"/>
            <color indexed="81"/>
            <rFont val="Tahoma"/>
            <family val="2"/>
          </rPr>
          <t xml:space="preserve">A - </t>
        </r>
        <r>
          <rPr>
            <sz val="9"/>
            <color indexed="81"/>
            <rFont val="Tahoma"/>
            <family val="2"/>
          </rPr>
          <t>configurable with lots of plug-ins</t>
        </r>
        <r>
          <rPr>
            <b/>
            <sz val="9"/>
            <color indexed="81"/>
            <rFont val="Tahoma"/>
            <family val="2"/>
          </rPr>
          <t xml:space="preserve">
B - </t>
        </r>
        <r>
          <rPr>
            <sz val="9"/>
            <color indexed="81"/>
            <rFont val="Tahoma"/>
            <family val="2"/>
          </rPr>
          <t>lots of plug-ins available</t>
        </r>
        <r>
          <rPr>
            <b/>
            <sz val="9"/>
            <color indexed="81"/>
            <rFont val="Tahoma"/>
            <family val="2"/>
          </rPr>
          <t xml:space="preserve">
C -</t>
        </r>
        <r>
          <rPr>
            <sz val="9"/>
            <color indexed="81"/>
            <rFont val="Tahoma"/>
            <family val="2"/>
          </rPr>
          <t xml:space="preserve"> limited or no plug-ins</t>
        </r>
        <r>
          <rPr>
            <b/>
            <sz val="9"/>
            <color indexed="81"/>
            <rFont val="Tahoma"/>
            <family val="2"/>
          </rPr>
          <t xml:space="preserve">
D -</t>
        </r>
        <r>
          <rPr>
            <sz val="9"/>
            <color indexed="81"/>
            <rFont val="Tahoma"/>
            <family val="2"/>
          </rPr>
          <t xml:space="preserve"> not modular</t>
        </r>
      </text>
    </comment>
    <comment ref="DD4" authorId="0" shapeId="0">
      <text>
        <r>
          <rPr>
            <b/>
            <sz val="9"/>
            <color indexed="81"/>
            <rFont val="Tahoma"/>
            <family val="2"/>
          </rPr>
          <t>A -</t>
        </r>
        <r>
          <rPr>
            <sz val="9"/>
            <color indexed="81"/>
            <rFont val="Tahoma"/>
            <family val="2"/>
          </rPr>
          <t xml:space="preserve"> Adaptive</t>
        </r>
        <r>
          <rPr>
            <b/>
            <sz val="9"/>
            <color indexed="81"/>
            <rFont val="Tahoma"/>
            <family val="2"/>
          </rPr>
          <t xml:space="preserve">
B - </t>
        </r>
        <r>
          <rPr>
            <sz val="9"/>
            <color indexed="81"/>
            <rFont val="Tahoma"/>
            <family val="2"/>
          </rPr>
          <t>Mix of adaptive and passive</t>
        </r>
        <r>
          <rPr>
            <b/>
            <sz val="9"/>
            <color indexed="81"/>
            <rFont val="Tahoma"/>
            <family val="2"/>
          </rPr>
          <t xml:space="preserve">
C - </t>
        </r>
        <r>
          <rPr>
            <sz val="9"/>
            <color indexed="81"/>
            <rFont val="Tahoma"/>
            <family val="2"/>
          </rPr>
          <t>Passive</t>
        </r>
        <r>
          <rPr>
            <b/>
            <sz val="9"/>
            <color indexed="81"/>
            <rFont val="Tahoma"/>
            <family val="2"/>
          </rPr>
          <t xml:space="preserve">
D - </t>
        </r>
        <r>
          <rPr>
            <sz val="9"/>
            <color indexed="81"/>
            <rFont val="Tahoma"/>
            <family val="2"/>
          </rPr>
          <t>No automation</t>
        </r>
      </text>
    </comment>
    <comment ref="DE4" authorId="0" shapeId="0">
      <text>
        <r>
          <rPr>
            <b/>
            <sz val="9"/>
            <color indexed="81"/>
            <rFont val="Tahoma"/>
            <family val="2"/>
          </rPr>
          <t xml:space="preserve">Enables:
A - </t>
        </r>
        <r>
          <rPr>
            <sz val="9"/>
            <color indexed="81"/>
            <rFont val="Tahoma"/>
            <family val="2"/>
          </rPr>
          <t>Configurable+Codable</t>
        </r>
        <r>
          <rPr>
            <b/>
            <sz val="9"/>
            <color indexed="81"/>
            <rFont val="Tahoma"/>
            <family val="2"/>
          </rPr>
          <t xml:space="preserve">
B - </t>
        </r>
        <r>
          <rPr>
            <sz val="9"/>
            <color indexed="81"/>
            <rFont val="Tahoma"/>
            <family val="2"/>
          </rPr>
          <t>Primarily codable</t>
        </r>
        <r>
          <rPr>
            <b/>
            <sz val="9"/>
            <color indexed="81"/>
            <rFont val="Tahoma"/>
            <family val="2"/>
          </rPr>
          <t xml:space="preserve">
C - </t>
        </r>
        <r>
          <rPr>
            <sz val="9"/>
            <color indexed="81"/>
            <rFont val="Tahoma"/>
            <family val="2"/>
          </rPr>
          <t>Primarily configurable</t>
        </r>
        <r>
          <rPr>
            <b/>
            <sz val="9"/>
            <color indexed="81"/>
            <rFont val="Tahoma"/>
            <family val="2"/>
          </rPr>
          <t xml:space="preserve">
D - </t>
        </r>
        <r>
          <rPr>
            <sz val="9"/>
            <color indexed="81"/>
            <rFont val="Tahoma"/>
            <family val="2"/>
          </rPr>
          <t xml:space="preserve">No abstraction
</t>
        </r>
        <r>
          <rPr>
            <b/>
            <sz val="9"/>
            <color indexed="81"/>
            <rFont val="Tahoma"/>
            <family val="2"/>
          </rPr>
          <t>E -</t>
        </r>
        <r>
          <rPr>
            <sz val="9"/>
            <color indexed="81"/>
            <rFont val="Tahoma"/>
            <family val="2"/>
          </rPr>
          <t xml:space="preserve"> Not applicable</t>
        </r>
      </text>
    </comment>
    <comment ref="DG4" authorId="0" shapeId="0">
      <text>
        <r>
          <rPr>
            <b/>
            <sz val="9"/>
            <color indexed="81"/>
            <rFont val="Tahoma"/>
            <family val="2"/>
          </rPr>
          <t xml:space="preserve">A - </t>
        </r>
        <r>
          <rPr>
            <sz val="9"/>
            <color indexed="81"/>
            <rFont val="Tahoma"/>
            <family val="2"/>
          </rPr>
          <t>configurable with lots of plug-ins</t>
        </r>
        <r>
          <rPr>
            <b/>
            <sz val="9"/>
            <color indexed="81"/>
            <rFont val="Tahoma"/>
            <family val="2"/>
          </rPr>
          <t xml:space="preserve">
B - </t>
        </r>
        <r>
          <rPr>
            <sz val="9"/>
            <color indexed="81"/>
            <rFont val="Tahoma"/>
            <family val="2"/>
          </rPr>
          <t>lots of plug-ins available</t>
        </r>
        <r>
          <rPr>
            <b/>
            <sz val="9"/>
            <color indexed="81"/>
            <rFont val="Tahoma"/>
            <family val="2"/>
          </rPr>
          <t xml:space="preserve">
C -</t>
        </r>
        <r>
          <rPr>
            <sz val="9"/>
            <color indexed="81"/>
            <rFont val="Tahoma"/>
            <family val="2"/>
          </rPr>
          <t xml:space="preserve"> limited or no plug-ins</t>
        </r>
        <r>
          <rPr>
            <b/>
            <sz val="9"/>
            <color indexed="81"/>
            <rFont val="Tahoma"/>
            <family val="2"/>
          </rPr>
          <t xml:space="preserve">
D -</t>
        </r>
        <r>
          <rPr>
            <sz val="9"/>
            <color indexed="81"/>
            <rFont val="Tahoma"/>
            <family val="2"/>
          </rPr>
          <t xml:space="preserve"> not modular</t>
        </r>
      </text>
    </comment>
    <comment ref="DH4" authorId="0" shapeId="0">
      <text>
        <r>
          <rPr>
            <b/>
            <sz val="9"/>
            <color indexed="81"/>
            <rFont val="Tahoma"/>
            <family val="2"/>
          </rPr>
          <t>A -</t>
        </r>
        <r>
          <rPr>
            <sz val="9"/>
            <color indexed="81"/>
            <rFont val="Tahoma"/>
            <family val="2"/>
          </rPr>
          <t xml:space="preserve"> Adaptive</t>
        </r>
        <r>
          <rPr>
            <b/>
            <sz val="9"/>
            <color indexed="81"/>
            <rFont val="Tahoma"/>
            <family val="2"/>
          </rPr>
          <t xml:space="preserve">
B - </t>
        </r>
        <r>
          <rPr>
            <sz val="9"/>
            <color indexed="81"/>
            <rFont val="Tahoma"/>
            <family val="2"/>
          </rPr>
          <t>Mix of adaptive and passive</t>
        </r>
        <r>
          <rPr>
            <b/>
            <sz val="9"/>
            <color indexed="81"/>
            <rFont val="Tahoma"/>
            <family val="2"/>
          </rPr>
          <t xml:space="preserve">
C - </t>
        </r>
        <r>
          <rPr>
            <sz val="9"/>
            <color indexed="81"/>
            <rFont val="Tahoma"/>
            <family val="2"/>
          </rPr>
          <t>Passive</t>
        </r>
        <r>
          <rPr>
            <b/>
            <sz val="9"/>
            <color indexed="81"/>
            <rFont val="Tahoma"/>
            <family val="2"/>
          </rPr>
          <t xml:space="preserve">
D - </t>
        </r>
        <r>
          <rPr>
            <sz val="9"/>
            <color indexed="81"/>
            <rFont val="Tahoma"/>
            <family val="2"/>
          </rPr>
          <t>No automation</t>
        </r>
      </text>
    </comment>
    <comment ref="DI4" authorId="0" shapeId="0">
      <text>
        <r>
          <rPr>
            <b/>
            <sz val="9"/>
            <color indexed="81"/>
            <rFont val="Tahoma"/>
            <family val="2"/>
          </rPr>
          <t xml:space="preserve">Enables:
A - </t>
        </r>
        <r>
          <rPr>
            <sz val="9"/>
            <color indexed="81"/>
            <rFont val="Tahoma"/>
            <family val="2"/>
          </rPr>
          <t>Configurable+Codable</t>
        </r>
        <r>
          <rPr>
            <b/>
            <sz val="9"/>
            <color indexed="81"/>
            <rFont val="Tahoma"/>
            <family val="2"/>
          </rPr>
          <t xml:space="preserve">
B - </t>
        </r>
        <r>
          <rPr>
            <sz val="9"/>
            <color indexed="81"/>
            <rFont val="Tahoma"/>
            <family val="2"/>
          </rPr>
          <t>Primarily codable</t>
        </r>
        <r>
          <rPr>
            <b/>
            <sz val="9"/>
            <color indexed="81"/>
            <rFont val="Tahoma"/>
            <family val="2"/>
          </rPr>
          <t xml:space="preserve">
C - </t>
        </r>
        <r>
          <rPr>
            <sz val="9"/>
            <color indexed="81"/>
            <rFont val="Tahoma"/>
            <family val="2"/>
          </rPr>
          <t>Primarily configurable</t>
        </r>
        <r>
          <rPr>
            <b/>
            <sz val="9"/>
            <color indexed="81"/>
            <rFont val="Tahoma"/>
            <family val="2"/>
          </rPr>
          <t xml:space="preserve">
D - </t>
        </r>
        <r>
          <rPr>
            <sz val="9"/>
            <color indexed="81"/>
            <rFont val="Tahoma"/>
            <family val="2"/>
          </rPr>
          <t xml:space="preserve">No abstraction
</t>
        </r>
        <r>
          <rPr>
            <b/>
            <sz val="9"/>
            <color indexed="81"/>
            <rFont val="Tahoma"/>
            <family val="2"/>
          </rPr>
          <t>E -</t>
        </r>
        <r>
          <rPr>
            <sz val="9"/>
            <color indexed="81"/>
            <rFont val="Tahoma"/>
            <family val="2"/>
          </rPr>
          <t xml:space="preserve"> Not applicable</t>
        </r>
      </text>
    </comment>
    <comment ref="DK4" authorId="0" shapeId="0">
      <text>
        <r>
          <rPr>
            <b/>
            <sz val="9"/>
            <color indexed="81"/>
            <rFont val="Tahoma"/>
            <family val="2"/>
          </rPr>
          <t xml:space="preserve">A - </t>
        </r>
        <r>
          <rPr>
            <sz val="9"/>
            <color indexed="81"/>
            <rFont val="Tahoma"/>
            <family val="2"/>
          </rPr>
          <t>configurable with lots of plug-ins</t>
        </r>
        <r>
          <rPr>
            <b/>
            <sz val="9"/>
            <color indexed="81"/>
            <rFont val="Tahoma"/>
            <family val="2"/>
          </rPr>
          <t xml:space="preserve">
B - </t>
        </r>
        <r>
          <rPr>
            <sz val="9"/>
            <color indexed="81"/>
            <rFont val="Tahoma"/>
            <family val="2"/>
          </rPr>
          <t>lots of plug-ins available</t>
        </r>
        <r>
          <rPr>
            <b/>
            <sz val="9"/>
            <color indexed="81"/>
            <rFont val="Tahoma"/>
            <family val="2"/>
          </rPr>
          <t xml:space="preserve">
C -</t>
        </r>
        <r>
          <rPr>
            <sz val="9"/>
            <color indexed="81"/>
            <rFont val="Tahoma"/>
            <family val="2"/>
          </rPr>
          <t xml:space="preserve"> limited or no plug-ins</t>
        </r>
        <r>
          <rPr>
            <b/>
            <sz val="9"/>
            <color indexed="81"/>
            <rFont val="Tahoma"/>
            <family val="2"/>
          </rPr>
          <t xml:space="preserve">
D -</t>
        </r>
        <r>
          <rPr>
            <sz val="9"/>
            <color indexed="81"/>
            <rFont val="Tahoma"/>
            <family val="2"/>
          </rPr>
          <t xml:space="preserve"> not modular</t>
        </r>
      </text>
    </comment>
    <comment ref="DL4" authorId="0" shapeId="0">
      <text>
        <r>
          <rPr>
            <b/>
            <sz val="9"/>
            <color indexed="81"/>
            <rFont val="Tahoma"/>
            <family val="2"/>
          </rPr>
          <t>A -</t>
        </r>
        <r>
          <rPr>
            <sz val="9"/>
            <color indexed="81"/>
            <rFont val="Tahoma"/>
            <family val="2"/>
          </rPr>
          <t xml:space="preserve"> Adaptive</t>
        </r>
        <r>
          <rPr>
            <b/>
            <sz val="9"/>
            <color indexed="81"/>
            <rFont val="Tahoma"/>
            <family val="2"/>
          </rPr>
          <t xml:space="preserve">
B - </t>
        </r>
        <r>
          <rPr>
            <sz val="9"/>
            <color indexed="81"/>
            <rFont val="Tahoma"/>
            <family val="2"/>
          </rPr>
          <t>Mix of adaptive and passive</t>
        </r>
        <r>
          <rPr>
            <b/>
            <sz val="9"/>
            <color indexed="81"/>
            <rFont val="Tahoma"/>
            <family val="2"/>
          </rPr>
          <t xml:space="preserve">
C - </t>
        </r>
        <r>
          <rPr>
            <sz val="9"/>
            <color indexed="81"/>
            <rFont val="Tahoma"/>
            <family val="2"/>
          </rPr>
          <t>Passive</t>
        </r>
        <r>
          <rPr>
            <b/>
            <sz val="9"/>
            <color indexed="81"/>
            <rFont val="Tahoma"/>
            <family val="2"/>
          </rPr>
          <t xml:space="preserve">
D - </t>
        </r>
        <r>
          <rPr>
            <sz val="9"/>
            <color indexed="81"/>
            <rFont val="Tahoma"/>
            <family val="2"/>
          </rPr>
          <t>No automation</t>
        </r>
      </text>
    </comment>
    <comment ref="DM4" authorId="0" shapeId="0">
      <text>
        <r>
          <rPr>
            <b/>
            <sz val="9"/>
            <color indexed="81"/>
            <rFont val="Tahoma"/>
            <family val="2"/>
          </rPr>
          <t xml:space="preserve">Enables:
A - </t>
        </r>
        <r>
          <rPr>
            <sz val="9"/>
            <color indexed="81"/>
            <rFont val="Tahoma"/>
            <family val="2"/>
          </rPr>
          <t>Configurable+Codable</t>
        </r>
        <r>
          <rPr>
            <b/>
            <sz val="9"/>
            <color indexed="81"/>
            <rFont val="Tahoma"/>
            <family val="2"/>
          </rPr>
          <t xml:space="preserve">
B - </t>
        </r>
        <r>
          <rPr>
            <sz val="9"/>
            <color indexed="81"/>
            <rFont val="Tahoma"/>
            <family val="2"/>
          </rPr>
          <t>Primarily codable</t>
        </r>
        <r>
          <rPr>
            <b/>
            <sz val="9"/>
            <color indexed="81"/>
            <rFont val="Tahoma"/>
            <family val="2"/>
          </rPr>
          <t xml:space="preserve">
C - </t>
        </r>
        <r>
          <rPr>
            <sz val="9"/>
            <color indexed="81"/>
            <rFont val="Tahoma"/>
            <family val="2"/>
          </rPr>
          <t>Primarily configurable</t>
        </r>
        <r>
          <rPr>
            <b/>
            <sz val="9"/>
            <color indexed="81"/>
            <rFont val="Tahoma"/>
            <family val="2"/>
          </rPr>
          <t xml:space="preserve">
D - </t>
        </r>
        <r>
          <rPr>
            <sz val="9"/>
            <color indexed="81"/>
            <rFont val="Tahoma"/>
            <family val="2"/>
          </rPr>
          <t xml:space="preserve">No abstraction
</t>
        </r>
        <r>
          <rPr>
            <b/>
            <sz val="9"/>
            <color indexed="81"/>
            <rFont val="Tahoma"/>
            <family val="2"/>
          </rPr>
          <t>E -</t>
        </r>
        <r>
          <rPr>
            <sz val="9"/>
            <color indexed="81"/>
            <rFont val="Tahoma"/>
            <family val="2"/>
          </rPr>
          <t xml:space="preserve"> Not applicable</t>
        </r>
      </text>
    </comment>
    <comment ref="DO4" authorId="0" shapeId="0">
      <text>
        <r>
          <rPr>
            <b/>
            <sz val="9"/>
            <color indexed="81"/>
            <rFont val="Tahoma"/>
            <family val="2"/>
          </rPr>
          <t xml:space="preserve">A - </t>
        </r>
        <r>
          <rPr>
            <sz val="9"/>
            <color indexed="81"/>
            <rFont val="Tahoma"/>
            <family val="2"/>
          </rPr>
          <t>configurable with lots of plug-ins</t>
        </r>
        <r>
          <rPr>
            <b/>
            <sz val="9"/>
            <color indexed="81"/>
            <rFont val="Tahoma"/>
            <family val="2"/>
          </rPr>
          <t xml:space="preserve">
B - </t>
        </r>
        <r>
          <rPr>
            <sz val="9"/>
            <color indexed="81"/>
            <rFont val="Tahoma"/>
            <family val="2"/>
          </rPr>
          <t>lots of plug-ins available</t>
        </r>
        <r>
          <rPr>
            <b/>
            <sz val="9"/>
            <color indexed="81"/>
            <rFont val="Tahoma"/>
            <family val="2"/>
          </rPr>
          <t xml:space="preserve">
C -</t>
        </r>
        <r>
          <rPr>
            <sz val="9"/>
            <color indexed="81"/>
            <rFont val="Tahoma"/>
            <family val="2"/>
          </rPr>
          <t xml:space="preserve"> limited or no plug-ins</t>
        </r>
        <r>
          <rPr>
            <b/>
            <sz val="9"/>
            <color indexed="81"/>
            <rFont val="Tahoma"/>
            <family val="2"/>
          </rPr>
          <t xml:space="preserve">
D -</t>
        </r>
        <r>
          <rPr>
            <sz val="9"/>
            <color indexed="81"/>
            <rFont val="Tahoma"/>
            <family val="2"/>
          </rPr>
          <t xml:space="preserve"> not modular</t>
        </r>
      </text>
    </comment>
    <comment ref="DP4" authorId="0" shapeId="0">
      <text>
        <r>
          <rPr>
            <b/>
            <sz val="9"/>
            <color indexed="81"/>
            <rFont val="Tahoma"/>
            <family val="2"/>
          </rPr>
          <t>A -</t>
        </r>
        <r>
          <rPr>
            <sz val="9"/>
            <color indexed="81"/>
            <rFont val="Tahoma"/>
            <family val="2"/>
          </rPr>
          <t xml:space="preserve"> Adaptive</t>
        </r>
        <r>
          <rPr>
            <b/>
            <sz val="9"/>
            <color indexed="81"/>
            <rFont val="Tahoma"/>
            <family val="2"/>
          </rPr>
          <t xml:space="preserve">
B - </t>
        </r>
        <r>
          <rPr>
            <sz val="9"/>
            <color indexed="81"/>
            <rFont val="Tahoma"/>
            <family val="2"/>
          </rPr>
          <t>Mix of adaptive and passive</t>
        </r>
        <r>
          <rPr>
            <b/>
            <sz val="9"/>
            <color indexed="81"/>
            <rFont val="Tahoma"/>
            <family val="2"/>
          </rPr>
          <t xml:space="preserve">
C - </t>
        </r>
        <r>
          <rPr>
            <sz val="9"/>
            <color indexed="81"/>
            <rFont val="Tahoma"/>
            <family val="2"/>
          </rPr>
          <t>Passive</t>
        </r>
        <r>
          <rPr>
            <b/>
            <sz val="9"/>
            <color indexed="81"/>
            <rFont val="Tahoma"/>
            <family val="2"/>
          </rPr>
          <t xml:space="preserve">
D - </t>
        </r>
        <r>
          <rPr>
            <sz val="9"/>
            <color indexed="81"/>
            <rFont val="Tahoma"/>
            <family val="2"/>
          </rPr>
          <t>No automation</t>
        </r>
      </text>
    </comment>
    <comment ref="DQ4" authorId="0" shapeId="0">
      <text>
        <r>
          <rPr>
            <b/>
            <sz val="9"/>
            <color indexed="81"/>
            <rFont val="Tahoma"/>
            <family val="2"/>
          </rPr>
          <t xml:space="preserve">Enables:
A - </t>
        </r>
        <r>
          <rPr>
            <sz val="9"/>
            <color indexed="81"/>
            <rFont val="Tahoma"/>
            <family val="2"/>
          </rPr>
          <t>Configurable+Codable</t>
        </r>
        <r>
          <rPr>
            <b/>
            <sz val="9"/>
            <color indexed="81"/>
            <rFont val="Tahoma"/>
            <family val="2"/>
          </rPr>
          <t xml:space="preserve">
B - </t>
        </r>
        <r>
          <rPr>
            <sz val="9"/>
            <color indexed="81"/>
            <rFont val="Tahoma"/>
            <family val="2"/>
          </rPr>
          <t>Primarily codable</t>
        </r>
        <r>
          <rPr>
            <b/>
            <sz val="9"/>
            <color indexed="81"/>
            <rFont val="Tahoma"/>
            <family val="2"/>
          </rPr>
          <t xml:space="preserve">
C - </t>
        </r>
        <r>
          <rPr>
            <sz val="9"/>
            <color indexed="81"/>
            <rFont val="Tahoma"/>
            <family val="2"/>
          </rPr>
          <t>Primarily configurable</t>
        </r>
        <r>
          <rPr>
            <b/>
            <sz val="9"/>
            <color indexed="81"/>
            <rFont val="Tahoma"/>
            <family val="2"/>
          </rPr>
          <t xml:space="preserve">
D - </t>
        </r>
        <r>
          <rPr>
            <sz val="9"/>
            <color indexed="81"/>
            <rFont val="Tahoma"/>
            <family val="2"/>
          </rPr>
          <t xml:space="preserve">No abstraction
</t>
        </r>
        <r>
          <rPr>
            <b/>
            <sz val="9"/>
            <color indexed="81"/>
            <rFont val="Tahoma"/>
            <family val="2"/>
          </rPr>
          <t>E -</t>
        </r>
        <r>
          <rPr>
            <sz val="9"/>
            <color indexed="81"/>
            <rFont val="Tahoma"/>
            <family val="2"/>
          </rPr>
          <t xml:space="preserve"> Not applicable</t>
        </r>
      </text>
    </comment>
    <comment ref="DS4" authorId="0" shapeId="0">
      <text>
        <r>
          <rPr>
            <b/>
            <sz val="9"/>
            <color indexed="81"/>
            <rFont val="Tahoma"/>
            <family val="2"/>
          </rPr>
          <t xml:space="preserve">A - </t>
        </r>
        <r>
          <rPr>
            <sz val="9"/>
            <color indexed="81"/>
            <rFont val="Tahoma"/>
            <family val="2"/>
          </rPr>
          <t>configurable with lots of plug-ins</t>
        </r>
        <r>
          <rPr>
            <b/>
            <sz val="9"/>
            <color indexed="81"/>
            <rFont val="Tahoma"/>
            <family val="2"/>
          </rPr>
          <t xml:space="preserve">
B - </t>
        </r>
        <r>
          <rPr>
            <sz val="9"/>
            <color indexed="81"/>
            <rFont val="Tahoma"/>
            <family val="2"/>
          </rPr>
          <t>lots of plug-ins available</t>
        </r>
        <r>
          <rPr>
            <b/>
            <sz val="9"/>
            <color indexed="81"/>
            <rFont val="Tahoma"/>
            <family val="2"/>
          </rPr>
          <t xml:space="preserve">
C -</t>
        </r>
        <r>
          <rPr>
            <sz val="9"/>
            <color indexed="81"/>
            <rFont val="Tahoma"/>
            <family val="2"/>
          </rPr>
          <t xml:space="preserve"> limited or no plug-ins</t>
        </r>
        <r>
          <rPr>
            <b/>
            <sz val="9"/>
            <color indexed="81"/>
            <rFont val="Tahoma"/>
            <family val="2"/>
          </rPr>
          <t xml:space="preserve">
D -</t>
        </r>
        <r>
          <rPr>
            <sz val="9"/>
            <color indexed="81"/>
            <rFont val="Tahoma"/>
            <family val="2"/>
          </rPr>
          <t xml:space="preserve"> not modular</t>
        </r>
      </text>
    </comment>
    <comment ref="DT4" authorId="0" shapeId="0">
      <text>
        <r>
          <rPr>
            <b/>
            <sz val="9"/>
            <color indexed="81"/>
            <rFont val="Tahoma"/>
            <family val="2"/>
          </rPr>
          <t>A -</t>
        </r>
        <r>
          <rPr>
            <sz val="9"/>
            <color indexed="81"/>
            <rFont val="Tahoma"/>
            <family val="2"/>
          </rPr>
          <t xml:space="preserve"> Adaptive</t>
        </r>
        <r>
          <rPr>
            <b/>
            <sz val="9"/>
            <color indexed="81"/>
            <rFont val="Tahoma"/>
            <family val="2"/>
          </rPr>
          <t xml:space="preserve">
B - </t>
        </r>
        <r>
          <rPr>
            <sz val="9"/>
            <color indexed="81"/>
            <rFont val="Tahoma"/>
            <family val="2"/>
          </rPr>
          <t>Mix of adaptive and passive</t>
        </r>
        <r>
          <rPr>
            <b/>
            <sz val="9"/>
            <color indexed="81"/>
            <rFont val="Tahoma"/>
            <family val="2"/>
          </rPr>
          <t xml:space="preserve">
C - </t>
        </r>
        <r>
          <rPr>
            <sz val="9"/>
            <color indexed="81"/>
            <rFont val="Tahoma"/>
            <family val="2"/>
          </rPr>
          <t>Passive</t>
        </r>
        <r>
          <rPr>
            <b/>
            <sz val="9"/>
            <color indexed="81"/>
            <rFont val="Tahoma"/>
            <family val="2"/>
          </rPr>
          <t xml:space="preserve">
D - </t>
        </r>
        <r>
          <rPr>
            <sz val="9"/>
            <color indexed="81"/>
            <rFont val="Tahoma"/>
            <family val="2"/>
          </rPr>
          <t>No automation</t>
        </r>
      </text>
    </comment>
    <comment ref="DU4" authorId="0" shapeId="0">
      <text>
        <r>
          <rPr>
            <b/>
            <sz val="9"/>
            <color indexed="81"/>
            <rFont val="Tahoma"/>
            <family val="2"/>
          </rPr>
          <t xml:space="preserve">Enables:
A - </t>
        </r>
        <r>
          <rPr>
            <sz val="9"/>
            <color indexed="81"/>
            <rFont val="Tahoma"/>
            <family val="2"/>
          </rPr>
          <t>Configurable+Codable</t>
        </r>
        <r>
          <rPr>
            <b/>
            <sz val="9"/>
            <color indexed="81"/>
            <rFont val="Tahoma"/>
            <family val="2"/>
          </rPr>
          <t xml:space="preserve">
B - </t>
        </r>
        <r>
          <rPr>
            <sz val="9"/>
            <color indexed="81"/>
            <rFont val="Tahoma"/>
            <family val="2"/>
          </rPr>
          <t>Primarily codable</t>
        </r>
        <r>
          <rPr>
            <b/>
            <sz val="9"/>
            <color indexed="81"/>
            <rFont val="Tahoma"/>
            <family val="2"/>
          </rPr>
          <t xml:space="preserve">
C - </t>
        </r>
        <r>
          <rPr>
            <sz val="9"/>
            <color indexed="81"/>
            <rFont val="Tahoma"/>
            <family val="2"/>
          </rPr>
          <t>Primarily configurable</t>
        </r>
        <r>
          <rPr>
            <b/>
            <sz val="9"/>
            <color indexed="81"/>
            <rFont val="Tahoma"/>
            <family val="2"/>
          </rPr>
          <t xml:space="preserve">
D - </t>
        </r>
        <r>
          <rPr>
            <sz val="9"/>
            <color indexed="81"/>
            <rFont val="Tahoma"/>
            <family val="2"/>
          </rPr>
          <t xml:space="preserve">No abstraction
</t>
        </r>
        <r>
          <rPr>
            <b/>
            <sz val="9"/>
            <color indexed="81"/>
            <rFont val="Tahoma"/>
            <family val="2"/>
          </rPr>
          <t>E -</t>
        </r>
        <r>
          <rPr>
            <sz val="9"/>
            <color indexed="81"/>
            <rFont val="Tahoma"/>
            <family val="2"/>
          </rPr>
          <t xml:space="preserve"> Not applicable</t>
        </r>
      </text>
    </comment>
    <comment ref="DW4" authorId="0" shapeId="0">
      <text>
        <r>
          <rPr>
            <b/>
            <sz val="9"/>
            <color indexed="81"/>
            <rFont val="Tahoma"/>
            <family val="2"/>
          </rPr>
          <t xml:space="preserve">A - </t>
        </r>
        <r>
          <rPr>
            <sz val="9"/>
            <color indexed="81"/>
            <rFont val="Tahoma"/>
            <family val="2"/>
          </rPr>
          <t>configurable with lots of plug-ins</t>
        </r>
        <r>
          <rPr>
            <b/>
            <sz val="9"/>
            <color indexed="81"/>
            <rFont val="Tahoma"/>
            <family val="2"/>
          </rPr>
          <t xml:space="preserve">
B - </t>
        </r>
        <r>
          <rPr>
            <sz val="9"/>
            <color indexed="81"/>
            <rFont val="Tahoma"/>
            <family val="2"/>
          </rPr>
          <t>lots of plug-ins available</t>
        </r>
        <r>
          <rPr>
            <b/>
            <sz val="9"/>
            <color indexed="81"/>
            <rFont val="Tahoma"/>
            <family val="2"/>
          </rPr>
          <t xml:space="preserve">
C -</t>
        </r>
        <r>
          <rPr>
            <sz val="9"/>
            <color indexed="81"/>
            <rFont val="Tahoma"/>
            <family val="2"/>
          </rPr>
          <t xml:space="preserve"> limited or no plug-ins</t>
        </r>
        <r>
          <rPr>
            <b/>
            <sz val="9"/>
            <color indexed="81"/>
            <rFont val="Tahoma"/>
            <family val="2"/>
          </rPr>
          <t xml:space="preserve">
D -</t>
        </r>
        <r>
          <rPr>
            <sz val="9"/>
            <color indexed="81"/>
            <rFont val="Tahoma"/>
            <family val="2"/>
          </rPr>
          <t xml:space="preserve"> not modular</t>
        </r>
      </text>
    </comment>
    <comment ref="DX4" authorId="0" shapeId="0">
      <text>
        <r>
          <rPr>
            <b/>
            <sz val="9"/>
            <color indexed="81"/>
            <rFont val="Tahoma"/>
            <family val="2"/>
          </rPr>
          <t>A -</t>
        </r>
        <r>
          <rPr>
            <sz val="9"/>
            <color indexed="81"/>
            <rFont val="Tahoma"/>
            <family val="2"/>
          </rPr>
          <t xml:space="preserve"> Adaptive</t>
        </r>
        <r>
          <rPr>
            <b/>
            <sz val="9"/>
            <color indexed="81"/>
            <rFont val="Tahoma"/>
            <family val="2"/>
          </rPr>
          <t xml:space="preserve">
B - </t>
        </r>
        <r>
          <rPr>
            <sz val="9"/>
            <color indexed="81"/>
            <rFont val="Tahoma"/>
            <family val="2"/>
          </rPr>
          <t>Mix of adaptive and passive</t>
        </r>
        <r>
          <rPr>
            <b/>
            <sz val="9"/>
            <color indexed="81"/>
            <rFont val="Tahoma"/>
            <family val="2"/>
          </rPr>
          <t xml:space="preserve">
C - </t>
        </r>
        <r>
          <rPr>
            <sz val="9"/>
            <color indexed="81"/>
            <rFont val="Tahoma"/>
            <family val="2"/>
          </rPr>
          <t>Passive</t>
        </r>
        <r>
          <rPr>
            <b/>
            <sz val="9"/>
            <color indexed="81"/>
            <rFont val="Tahoma"/>
            <family val="2"/>
          </rPr>
          <t xml:space="preserve">
D - </t>
        </r>
        <r>
          <rPr>
            <sz val="9"/>
            <color indexed="81"/>
            <rFont val="Tahoma"/>
            <family val="2"/>
          </rPr>
          <t>No automation</t>
        </r>
      </text>
    </comment>
    <comment ref="DY4" authorId="0" shapeId="0">
      <text>
        <r>
          <rPr>
            <b/>
            <sz val="9"/>
            <color indexed="81"/>
            <rFont val="Tahoma"/>
            <family val="2"/>
          </rPr>
          <t xml:space="preserve">Enables:
A - </t>
        </r>
        <r>
          <rPr>
            <sz val="9"/>
            <color indexed="81"/>
            <rFont val="Tahoma"/>
            <family val="2"/>
          </rPr>
          <t>Configurable+Codable</t>
        </r>
        <r>
          <rPr>
            <b/>
            <sz val="9"/>
            <color indexed="81"/>
            <rFont val="Tahoma"/>
            <family val="2"/>
          </rPr>
          <t xml:space="preserve">
B - </t>
        </r>
        <r>
          <rPr>
            <sz val="9"/>
            <color indexed="81"/>
            <rFont val="Tahoma"/>
            <family val="2"/>
          </rPr>
          <t>Primarily codable</t>
        </r>
        <r>
          <rPr>
            <b/>
            <sz val="9"/>
            <color indexed="81"/>
            <rFont val="Tahoma"/>
            <family val="2"/>
          </rPr>
          <t xml:space="preserve">
C - </t>
        </r>
        <r>
          <rPr>
            <sz val="9"/>
            <color indexed="81"/>
            <rFont val="Tahoma"/>
            <family val="2"/>
          </rPr>
          <t>Primarily configurable</t>
        </r>
        <r>
          <rPr>
            <b/>
            <sz val="9"/>
            <color indexed="81"/>
            <rFont val="Tahoma"/>
            <family val="2"/>
          </rPr>
          <t xml:space="preserve">
D - </t>
        </r>
        <r>
          <rPr>
            <sz val="9"/>
            <color indexed="81"/>
            <rFont val="Tahoma"/>
            <family val="2"/>
          </rPr>
          <t xml:space="preserve">No abstraction
</t>
        </r>
        <r>
          <rPr>
            <b/>
            <sz val="9"/>
            <color indexed="81"/>
            <rFont val="Tahoma"/>
            <family val="2"/>
          </rPr>
          <t>E -</t>
        </r>
        <r>
          <rPr>
            <sz val="9"/>
            <color indexed="81"/>
            <rFont val="Tahoma"/>
            <family val="2"/>
          </rPr>
          <t xml:space="preserve"> Not applicable</t>
        </r>
      </text>
    </comment>
    <comment ref="EA4" authorId="0" shapeId="0">
      <text>
        <r>
          <rPr>
            <b/>
            <sz val="9"/>
            <color indexed="81"/>
            <rFont val="Tahoma"/>
            <family val="2"/>
          </rPr>
          <t xml:space="preserve">A - </t>
        </r>
        <r>
          <rPr>
            <sz val="9"/>
            <color indexed="81"/>
            <rFont val="Tahoma"/>
            <family val="2"/>
          </rPr>
          <t>configurable with lot of plug-ins</t>
        </r>
        <r>
          <rPr>
            <b/>
            <sz val="9"/>
            <color indexed="81"/>
            <rFont val="Tahoma"/>
            <family val="2"/>
          </rPr>
          <t xml:space="preserve">
B - </t>
        </r>
        <r>
          <rPr>
            <sz val="9"/>
            <color indexed="81"/>
            <rFont val="Tahoma"/>
            <family val="2"/>
          </rPr>
          <t>lot of plug-ins available</t>
        </r>
        <r>
          <rPr>
            <b/>
            <sz val="9"/>
            <color indexed="81"/>
            <rFont val="Tahoma"/>
            <family val="2"/>
          </rPr>
          <t xml:space="preserve">
C -</t>
        </r>
        <r>
          <rPr>
            <sz val="9"/>
            <color indexed="81"/>
            <rFont val="Tahoma"/>
            <family val="2"/>
          </rPr>
          <t xml:space="preserve"> limited or no plug-ins</t>
        </r>
        <r>
          <rPr>
            <b/>
            <sz val="9"/>
            <color indexed="81"/>
            <rFont val="Tahoma"/>
            <family val="2"/>
          </rPr>
          <t xml:space="preserve">
D -</t>
        </r>
        <r>
          <rPr>
            <sz val="9"/>
            <color indexed="81"/>
            <rFont val="Tahoma"/>
            <family val="2"/>
          </rPr>
          <t xml:space="preserve"> not modular</t>
        </r>
      </text>
    </comment>
    <comment ref="EB4" authorId="0" shapeId="0">
      <text>
        <r>
          <rPr>
            <b/>
            <sz val="9"/>
            <color indexed="81"/>
            <rFont val="Tahoma"/>
            <family val="2"/>
          </rPr>
          <t>A -</t>
        </r>
        <r>
          <rPr>
            <sz val="9"/>
            <color indexed="81"/>
            <rFont val="Tahoma"/>
            <family val="2"/>
          </rPr>
          <t xml:space="preserve"> Adaptive</t>
        </r>
        <r>
          <rPr>
            <b/>
            <sz val="9"/>
            <color indexed="81"/>
            <rFont val="Tahoma"/>
            <family val="2"/>
          </rPr>
          <t xml:space="preserve">
B - </t>
        </r>
        <r>
          <rPr>
            <sz val="9"/>
            <color indexed="81"/>
            <rFont val="Tahoma"/>
            <family val="2"/>
          </rPr>
          <t>Mix of adaptive and passive</t>
        </r>
        <r>
          <rPr>
            <b/>
            <sz val="9"/>
            <color indexed="81"/>
            <rFont val="Tahoma"/>
            <family val="2"/>
          </rPr>
          <t xml:space="preserve">
C - </t>
        </r>
        <r>
          <rPr>
            <sz val="9"/>
            <color indexed="81"/>
            <rFont val="Tahoma"/>
            <family val="2"/>
          </rPr>
          <t>Passive</t>
        </r>
        <r>
          <rPr>
            <b/>
            <sz val="9"/>
            <color indexed="81"/>
            <rFont val="Tahoma"/>
            <family val="2"/>
          </rPr>
          <t xml:space="preserve">
D - </t>
        </r>
        <r>
          <rPr>
            <sz val="9"/>
            <color indexed="81"/>
            <rFont val="Tahoma"/>
            <family val="2"/>
          </rPr>
          <t>No automation</t>
        </r>
      </text>
    </comment>
    <comment ref="EC4" authorId="0" shapeId="0">
      <text>
        <r>
          <rPr>
            <b/>
            <sz val="9"/>
            <color indexed="81"/>
            <rFont val="Tahoma"/>
            <family val="2"/>
          </rPr>
          <t xml:space="preserve">Enables:
A - </t>
        </r>
        <r>
          <rPr>
            <sz val="9"/>
            <color indexed="81"/>
            <rFont val="Tahoma"/>
            <family val="2"/>
          </rPr>
          <t>Configurable+Codable</t>
        </r>
        <r>
          <rPr>
            <b/>
            <sz val="9"/>
            <color indexed="81"/>
            <rFont val="Tahoma"/>
            <family val="2"/>
          </rPr>
          <t xml:space="preserve">
B - </t>
        </r>
        <r>
          <rPr>
            <sz val="9"/>
            <color indexed="81"/>
            <rFont val="Tahoma"/>
            <family val="2"/>
          </rPr>
          <t>Primarily codable</t>
        </r>
        <r>
          <rPr>
            <b/>
            <sz val="9"/>
            <color indexed="81"/>
            <rFont val="Tahoma"/>
            <family val="2"/>
          </rPr>
          <t xml:space="preserve">
C - </t>
        </r>
        <r>
          <rPr>
            <sz val="9"/>
            <color indexed="81"/>
            <rFont val="Tahoma"/>
            <family val="2"/>
          </rPr>
          <t>Primarily configurable</t>
        </r>
        <r>
          <rPr>
            <b/>
            <sz val="9"/>
            <color indexed="81"/>
            <rFont val="Tahoma"/>
            <family val="2"/>
          </rPr>
          <t xml:space="preserve">
D - </t>
        </r>
        <r>
          <rPr>
            <sz val="9"/>
            <color indexed="81"/>
            <rFont val="Tahoma"/>
            <family val="2"/>
          </rPr>
          <t xml:space="preserve">No abstraction
</t>
        </r>
        <r>
          <rPr>
            <b/>
            <sz val="9"/>
            <color indexed="81"/>
            <rFont val="Tahoma"/>
            <family val="2"/>
          </rPr>
          <t>E -</t>
        </r>
        <r>
          <rPr>
            <sz val="9"/>
            <color indexed="81"/>
            <rFont val="Tahoma"/>
            <family val="2"/>
          </rPr>
          <t xml:space="preserve"> Not applicable</t>
        </r>
      </text>
    </comment>
  </commentList>
</comments>
</file>

<file path=xl/sharedStrings.xml><?xml version="1.0" encoding="utf-8"?>
<sst xmlns="http://schemas.openxmlformats.org/spreadsheetml/2006/main" count="1573" uniqueCount="475">
  <si>
    <t>None</t>
  </si>
  <si>
    <t>Low</t>
  </si>
  <si>
    <t>Jira</t>
  </si>
  <si>
    <t>Category</t>
  </si>
  <si>
    <t>S#</t>
  </si>
  <si>
    <t>This is how we run our IT. Think Agility and Stability at the same time.</t>
  </si>
  <si>
    <t>TCS DevOps Assessment - Detailed Questionnaire</t>
  </si>
  <si>
    <t>Yes</t>
  </si>
  <si>
    <t>No</t>
  </si>
  <si>
    <t>Section B</t>
  </si>
  <si>
    <t>Detailed Activities for IT</t>
  </si>
  <si>
    <t>SDLC - Requirements Analysis</t>
  </si>
  <si>
    <t>Field Values and Vaildation Tables</t>
  </si>
  <si>
    <t>Other</t>
  </si>
  <si>
    <t>Yes / No</t>
  </si>
  <si>
    <t>Criticality</t>
  </si>
  <si>
    <t>Predecessor 2 (optional)</t>
  </si>
  <si>
    <t>Predecessor 3 (optional)</t>
  </si>
  <si>
    <t>Input</t>
  </si>
  <si>
    <t>Output</t>
  </si>
  <si>
    <t>Automation tool</t>
  </si>
  <si>
    <t>We create the business requirements specification (BRS) document</t>
  </si>
  <si>
    <t>We create the software requirements specification (SRS) from BRS</t>
  </si>
  <si>
    <t>We identify and include non-functional requirements (NFRs) to the SRS</t>
  </si>
  <si>
    <t>We store the BRS and/or SRS in project document library</t>
  </si>
  <si>
    <t>We identify a requirements repository</t>
  </si>
  <si>
    <t>We baseline requirements in the repository</t>
  </si>
  <si>
    <t>We monitor baselined requirements via collaboration</t>
  </si>
  <si>
    <t>We assess impact to components for a change</t>
  </si>
  <si>
    <t>We identify changed requirements and record the changes in repository</t>
  </si>
  <si>
    <t>We record the changes in repository using a workflow</t>
  </si>
  <si>
    <t>For user-centric requirement, we apply BDD to templatize repeatable requirements in GWT format</t>
  </si>
  <si>
    <t>For system-centric requirement, we apply TDD to templatize repeatable requirements in TDD format</t>
  </si>
  <si>
    <t>We gather and templatize NFRs from multiple projects in TDD format</t>
  </si>
  <si>
    <t>We merge the NFRs with functional requirements (FRs) in the repository manually</t>
  </si>
  <si>
    <t>We merge the NFRs with functional requirements (FRs) in the repository using a workflow/rules engine or tool</t>
  </si>
  <si>
    <t>INIT</t>
  </si>
  <si>
    <t>Environment</t>
  </si>
  <si>
    <t>Technology stack mapping for tools</t>
  </si>
  <si>
    <t>SharePoint</t>
  </si>
  <si>
    <t>Documentum</t>
  </si>
  <si>
    <t>Alfresco</t>
  </si>
  <si>
    <t>HP ALM/ Agile Manager</t>
  </si>
  <si>
    <t>IBM RTC</t>
  </si>
  <si>
    <t>Confluence</t>
  </si>
  <si>
    <t>jBPM</t>
  </si>
  <si>
    <t>BPMN</t>
  </si>
  <si>
    <t>COPPER</t>
  </si>
  <si>
    <t>Wexflow</t>
  </si>
  <si>
    <t>Story</t>
  </si>
  <si>
    <t>Epic</t>
  </si>
  <si>
    <t>Hi</t>
  </si>
  <si>
    <t>Med</t>
  </si>
  <si>
    <t>QA</t>
  </si>
  <si>
    <t>Ops-Infra</t>
  </si>
  <si>
    <t>Ops-Rel</t>
  </si>
  <si>
    <t>Ops-ITSM</t>
  </si>
  <si>
    <t>Architect</t>
  </si>
  <si>
    <t>Business</t>
  </si>
  <si>
    <t>ITLead</t>
  </si>
  <si>
    <t>Bot</t>
  </si>
  <si>
    <t>Infra as code</t>
  </si>
  <si>
    <t>Proprietary</t>
  </si>
  <si>
    <t>WhatsApp</t>
  </si>
  <si>
    <t>HipChat</t>
  </si>
  <si>
    <t>Wiki</t>
  </si>
  <si>
    <t>Jenkins</t>
  </si>
  <si>
    <t>Hudson</t>
  </si>
  <si>
    <t>Bamboo</t>
  </si>
  <si>
    <t>TFS</t>
  </si>
  <si>
    <t>Text editor (UNIX/LINUX)</t>
  </si>
  <si>
    <t>Text editor (Windows)</t>
  </si>
  <si>
    <t>Eclipse</t>
  </si>
  <si>
    <t>NetBeans IDE</t>
  </si>
  <si>
    <t>Visual Studio</t>
  </si>
  <si>
    <t>AndroMDA</t>
  </si>
  <si>
    <t>Android SDK</t>
  </si>
  <si>
    <t>Xcode editor</t>
  </si>
  <si>
    <t>COBOL dataset editor</t>
  </si>
  <si>
    <t>Other language editor</t>
  </si>
  <si>
    <t>XL Deploy</t>
  </si>
  <si>
    <t>IBM UrbanCode Deploy</t>
  </si>
  <si>
    <t>Octopus Deploy</t>
  </si>
  <si>
    <t>Other MDD tool</t>
  </si>
  <si>
    <t>PowerShell script</t>
  </si>
  <si>
    <t>Jenkins with scripts</t>
  </si>
  <si>
    <t>Email</t>
  </si>
  <si>
    <t>Shared folders</t>
  </si>
  <si>
    <t>Git</t>
  </si>
  <si>
    <t>GitHub / GitLab</t>
  </si>
  <si>
    <t>SVN</t>
  </si>
  <si>
    <t>Artifactory Jfrog</t>
  </si>
  <si>
    <t>NEXUS</t>
  </si>
  <si>
    <t>Maven</t>
  </si>
  <si>
    <t>Ant</t>
  </si>
  <si>
    <t>MS Build</t>
  </si>
  <si>
    <t>Objective C editor</t>
  </si>
  <si>
    <t>Hygieia</t>
  </si>
  <si>
    <t>Other C/C++ editor</t>
  </si>
  <si>
    <t>MDD tool with language plug-in</t>
  </si>
  <si>
    <t>Gradle</t>
  </si>
  <si>
    <t>Puppet</t>
  </si>
  <si>
    <t>Chef</t>
  </si>
  <si>
    <t>AWS OpsWorks</t>
  </si>
  <si>
    <t>Salt</t>
  </si>
  <si>
    <t>Ansible</t>
  </si>
  <si>
    <t>Selenium</t>
  </si>
  <si>
    <t>HP QTP</t>
  </si>
  <si>
    <t>IBM RFT</t>
  </si>
  <si>
    <t>Jbehave</t>
  </si>
  <si>
    <t>Cucumber</t>
  </si>
  <si>
    <t>Oracle VirtualBox</t>
  </si>
  <si>
    <t>VMWare</t>
  </si>
  <si>
    <t>Vagrant</t>
  </si>
  <si>
    <t>Docker</t>
  </si>
  <si>
    <t>Docker Swarm</t>
  </si>
  <si>
    <t>Pivotal CloudFoundry (PCF)</t>
  </si>
  <si>
    <t>PCF Warden</t>
  </si>
  <si>
    <t>ServiceNow</t>
  </si>
  <si>
    <t>BMC Remedy</t>
  </si>
  <si>
    <t>RemedyForce</t>
  </si>
  <si>
    <t>UiPath</t>
  </si>
  <si>
    <t>BluePrism</t>
  </si>
  <si>
    <t>Automation Anywhere</t>
  </si>
  <si>
    <t>WorkFusion</t>
  </si>
  <si>
    <t>Provisioning tool with scripts</t>
  </si>
  <si>
    <t>Groovy scripts</t>
  </si>
  <si>
    <t>Python scripts</t>
  </si>
  <si>
    <t>Zabbix</t>
  </si>
  <si>
    <t>AppDynamics</t>
  </si>
  <si>
    <t>Splunk</t>
  </si>
  <si>
    <t>LogStash</t>
  </si>
  <si>
    <t>Kibana</t>
  </si>
  <si>
    <t>ELK (ElasticSearch-Logstash-Kibana)</t>
  </si>
  <si>
    <t>Flyway</t>
  </si>
  <si>
    <t>Liquibase</t>
  </si>
  <si>
    <t>Sumo Logic</t>
  </si>
  <si>
    <t>Graylog</t>
  </si>
  <si>
    <t>Kubernetes</t>
  </si>
  <si>
    <t>cAdvisor</t>
  </si>
  <si>
    <t>Apache Spark</t>
  </si>
  <si>
    <t>Apache Kafka</t>
  </si>
  <si>
    <t>Apache Mesos</t>
  </si>
  <si>
    <t>OpenStack</t>
  </si>
  <si>
    <t>OpenShift</t>
  </si>
  <si>
    <t>Jmeter</t>
  </si>
  <si>
    <t>HP LoadRunner</t>
  </si>
  <si>
    <t>HP Fortify</t>
  </si>
  <si>
    <t>Cisco HyperFlex</t>
  </si>
  <si>
    <t>Dynatrace</t>
  </si>
  <si>
    <t>CoreOS Tectonic</t>
  </si>
  <si>
    <t>DockerHub</t>
  </si>
  <si>
    <t>BitBucket</t>
  </si>
  <si>
    <t>Mercurial</t>
  </si>
  <si>
    <t>Datical</t>
  </si>
  <si>
    <t>Dbmaestro</t>
  </si>
  <si>
    <t>Redgate</t>
  </si>
  <si>
    <t>Grunt</t>
  </si>
  <si>
    <t>Broccoli</t>
  </si>
  <si>
    <t>Karma</t>
  </si>
  <si>
    <t>Jasmine</t>
  </si>
  <si>
    <t>TestNG</t>
  </si>
  <si>
    <t>Perfecto</t>
  </si>
  <si>
    <t>Junit</t>
  </si>
  <si>
    <t>Nunit</t>
  </si>
  <si>
    <t>CircleCI</t>
  </si>
  <si>
    <t>TeamCity</t>
  </si>
  <si>
    <t>CruiseControl</t>
  </si>
  <si>
    <t>TravisCI</t>
  </si>
  <si>
    <t>CA Nolio</t>
  </si>
  <si>
    <t>RunDeck</t>
  </si>
  <si>
    <t>PhantomJS</t>
  </si>
  <si>
    <t>Mocha</t>
  </si>
  <si>
    <t>Packer</t>
  </si>
  <si>
    <t>Terraform</t>
  </si>
  <si>
    <t>CloudForms</t>
  </si>
  <si>
    <t>AWS CloudFormation</t>
  </si>
  <si>
    <t>AWS (Elastic) Beanstalk</t>
  </si>
  <si>
    <t>Nagios</t>
  </si>
  <si>
    <t>New Relic</t>
  </si>
  <si>
    <t>RightScale for Azure</t>
  </si>
  <si>
    <t>InContinuum CloudController for Azure</t>
  </si>
  <si>
    <t>Windows Azure Pack</t>
  </si>
  <si>
    <t>XL Release</t>
  </si>
  <si>
    <t>IBM UrbanCode Release</t>
  </si>
  <si>
    <t>CA Release Automation</t>
  </si>
  <si>
    <t>Automic</t>
  </si>
  <si>
    <t>Heroku</t>
  </si>
  <si>
    <t>Tripwire</t>
  </si>
  <si>
    <t>HP WebInspect</t>
  </si>
  <si>
    <t>IBM RDz / Developer for Z-series</t>
  </si>
  <si>
    <t>AutoRabit</t>
  </si>
  <si>
    <t>Gearset</t>
  </si>
  <si>
    <t>Dell EMC VxRail</t>
  </si>
  <si>
    <t>MS Hyper-V</t>
  </si>
  <si>
    <t>SonarQube</t>
  </si>
  <si>
    <t>FxCop</t>
  </si>
  <si>
    <t>StyleCop</t>
  </si>
  <si>
    <t>PMD</t>
  </si>
  <si>
    <t>Checkstyle</t>
  </si>
  <si>
    <t>Rally</t>
  </si>
  <si>
    <t>SmartBear</t>
  </si>
  <si>
    <t>Zunit</t>
  </si>
  <si>
    <t>VM configuration (e.g. VagrantFile)</t>
  </si>
  <si>
    <t>Container configuration (e.g. DockerFile)</t>
  </si>
  <si>
    <t>Collaboration / chat tools only</t>
  </si>
  <si>
    <t>Passive orchestration</t>
  </si>
  <si>
    <t>Rule-based adaptive orchestration</t>
  </si>
  <si>
    <t>Rule-based prescriptive orchestration</t>
  </si>
  <si>
    <t>Auto-discover adaptive orchestration</t>
  </si>
  <si>
    <t>AI-led pattern based orchestration</t>
  </si>
  <si>
    <t>AI-led informed orchestration</t>
  </si>
  <si>
    <t>AI-led un-informed orchestration</t>
  </si>
  <si>
    <t>IBM Watson</t>
  </si>
  <si>
    <t>IBM Bluemix</t>
  </si>
  <si>
    <t>Total time taken</t>
  </si>
  <si>
    <t>Manual time spent</t>
  </si>
  <si>
    <t>SDLC - Design</t>
  </si>
  <si>
    <t>We translate requirement from SRS into high level design statements</t>
  </si>
  <si>
    <t>We store HLDD in project document library with versioning</t>
  </si>
  <si>
    <t>We translate design statement from HLDD into low level design/ pseudocode</t>
  </si>
  <si>
    <t>We incorporate model driven methodology (such as UMLs) as part of LLDD for code design</t>
  </si>
  <si>
    <t>We store LLDD in project document library with versioning</t>
  </si>
  <si>
    <t>We identify design repository</t>
  </si>
  <si>
    <t>We integrate design repository to ALM tool</t>
  </si>
  <si>
    <t>We baseline design in repository</t>
  </si>
  <si>
    <t>We monitor baselined design via collaboration</t>
  </si>
  <si>
    <t>We identify and record design changes and associated priorities</t>
  </si>
  <si>
    <t>We update design repository over workflow</t>
  </si>
  <si>
    <t>SDLC - Environment provisioning</t>
  </si>
  <si>
    <t>We identify mode of template request form (email, service management tool) and basic set of parameters</t>
  </si>
  <si>
    <t>We incorporate parameters for infrastructure - CPU, disk space, etc.</t>
  </si>
  <si>
    <t>We incorporate parameters for O/S - Linux, Unix, Windows, etc.</t>
  </si>
  <si>
    <t>We incorporate parameters for CI - post-commit unit test to build</t>
  </si>
  <si>
    <t>We incorporate parameters for CT - functional test automation</t>
  </si>
  <si>
    <t>We incorporate parameters for CT - NFR test automation</t>
  </si>
  <si>
    <t>We incorporate parameters for CT incl. TDD/ ATDD/ BDD</t>
  </si>
  <si>
    <t>We incorporate parameters for code metrics</t>
  </si>
  <si>
    <t>We incorporate parameters for CM in pre-prod</t>
  </si>
  <si>
    <t>We incorporate parameters for CM in prod</t>
  </si>
  <si>
    <t>We identify and prepare environment parameters from dev/test/deploy requirements</t>
  </si>
  <si>
    <t>We request for environment through email or manual workflow</t>
  </si>
  <si>
    <t>We request for environment through a workflow/ rules engine</t>
  </si>
  <si>
    <t>We validate environment parameters using templates in rules engine</t>
  </si>
  <si>
    <t>We check infrastructure/ environment availability vis-à-vis environment request</t>
  </si>
  <si>
    <t>We approve environment request through workflow mentioning ETA</t>
  </si>
  <si>
    <t>We send back request through workflow for revision vis-à-vis available environment parameters</t>
  </si>
  <si>
    <t>We reject environment request through workflow</t>
  </si>
  <si>
    <t>We implement a bare metal infrastructure for target environment</t>
  </si>
  <si>
    <t>We configure environment in the VM manually (using CLI scripts and installations)</t>
  </si>
  <si>
    <t>We store configuration scripts in project document library</t>
  </si>
  <si>
    <t>We identify artefact repository</t>
  </si>
  <si>
    <t>We store configuration script files (tool based) in artefact repository</t>
  </si>
  <si>
    <t>We revise environment policies and parameters in workflow/ rules engine template</t>
  </si>
  <si>
    <t>We check environment utilization vis-à-vis dev/test ETA for given environment</t>
  </si>
  <si>
    <t>We turn off environment using manual scripts</t>
  </si>
  <si>
    <t>SDLC - Coding</t>
  </si>
  <si>
    <t>We code application using text editor</t>
  </si>
  <si>
    <t>We code application using IDE</t>
  </si>
  <si>
    <t>We integrate code quality checks in ALM tool</t>
  </si>
  <si>
    <t>We commit code manually</t>
  </si>
  <si>
    <t>We integrate code commits in ALM tool</t>
  </si>
  <si>
    <t>We generate tags manually prior to commit</t>
  </si>
  <si>
    <t>We generate tags prior to commit using automation tool</t>
  </si>
  <si>
    <t>We build application using command line/ GUI compiler</t>
  </si>
  <si>
    <t>We unit test code manually using test plan</t>
  </si>
  <si>
    <t>We promote application code to one or more environment(s) manually</t>
  </si>
  <si>
    <t>SDLC - Testing</t>
  </si>
  <si>
    <t>We prepare test plan incl. test scenarios and test cases using Excel (or equivalent)</t>
  </si>
  <si>
    <t>We execute manual tests - regression</t>
  </si>
  <si>
    <t>We execute manual tests - integration</t>
  </si>
  <si>
    <t>We execute manual tests - performance</t>
  </si>
  <si>
    <t>We execute manual tests - security</t>
  </si>
  <si>
    <t>We execute manual tests - accessibility</t>
  </si>
  <si>
    <t>We execute tests using automation tool - regression</t>
  </si>
  <si>
    <t>We execute tests using automation tool - integration</t>
  </si>
  <si>
    <t>We execute tests using automation tool - performance</t>
  </si>
  <si>
    <t>We execute tests using automation tool - security</t>
  </si>
  <si>
    <t>We execute tests using automation tool - accessibility</t>
  </si>
  <si>
    <t>We execute automated tests as part of CI - regression</t>
  </si>
  <si>
    <t>We execute automated tests as part of CI - integration</t>
  </si>
  <si>
    <t>We execute automated tests as part of CI - performance</t>
  </si>
  <si>
    <t>We execute automated tests as part of CI - security</t>
  </si>
  <si>
    <t>SDLC - Application release and deployment</t>
  </si>
  <si>
    <t>We identify business change or incident fix requirements</t>
  </si>
  <si>
    <t>We prepare release plan and share (and align on) using Excel (or equivalent) and email</t>
  </si>
  <si>
    <t>We prepare release plan over a collaboration tool and circulate (to align)</t>
  </si>
  <si>
    <t>We share (and align on) release plan using a workflow tool</t>
  </si>
  <si>
    <t>We share (and align on) release plan using a workflow tool integrated with ALM tool</t>
  </si>
  <si>
    <t>We request for release using email</t>
  </si>
  <si>
    <t>We request for release as a freeform request using a ticketing (or workflow) tool</t>
  </si>
  <si>
    <t>We request for release using parameterized template in a ticketing (or workflow) tool</t>
  </si>
  <si>
    <t>We approve release request using email</t>
  </si>
  <si>
    <t>We approve release request in ticketing/ workflow tool</t>
  </si>
  <si>
    <t>We execute release using manual scripts and CLI commands</t>
  </si>
  <si>
    <t>We execute release using release automation tool</t>
  </si>
  <si>
    <t>We execute release through using containers, optionally over a container cluster</t>
  </si>
  <si>
    <t>We document design statements as part of HLDD</t>
  </si>
  <si>
    <t>We incorporate model driven methodology (such as UMLs) as part of LLDD for code design using a modelling tool</t>
  </si>
  <si>
    <t>We incorporate specific parameters for release to non-prod environments</t>
  </si>
  <si>
    <t>We incorporate specific parameters for production deployment</t>
  </si>
  <si>
    <t>We incorporate parameters for automated code construction using say, MDD with/without language-specific code generation capability</t>
  </si>
  <si>
    <t>We spin up VM over a VM provider tool directly using GUI or scripts</t>
  </si>
  <si>
    <t>We spin up VM over a VM provider tool using a VM provisioning and configuration tool</t>
  </si>
  <si>
    <t>We spin up VM over public cloud directly using in-built cloud services</t>
  </si>
  <si>
    <t>We spin up VM over private cloud directly using in-built cloud services</t>
  </si>
  <si>
    <t>We configure environment in the VM using VM configuration tool</t>
  </si>
  <si>
    <t>We spin up a container cluster with relevant configuration over a VM or cloud</t>
  </si>
  <si>
    <t>We spin up a container with relevant configuration over a VM or cloud</t>
  </si>
  <si>
    <t>We provide reminder for environment deprovision (from ops team to dev/test team)</t>
  </si>
  <si>
    <t>We request for environment deprovision (from dev/test team to ops team)</t>
  </si>
  <si>
    <t>We turn off environment using VM provisioner tool through a configuration file change</t>
  </si>
  <si>
    <t>We turn off environment as a configuration change in VM/cloud management tool</t>
  </si>
  <si>
    <t>We code application incorporating microservices architecture</t>
  </si>
  <si>
    <t>We code application using language-specific code generation tools incorporating MDD</t>
  </si>
  <si>
    <t>We build application automatically as part of CI workflow using a CI platform</t>
  </si>
  <si>
    <t>We build application using language-specific build tool</t>
  </si>
  <si>
    <t>We push code binaries manually to a binary repository</t>
  </si>
  <si>
    <t>We push code binaries automatically to repository as part of CI workflow</t>
  </si>
  <si>
    <t>We prepare test plan incl. test scenarios and test cases in an ALM tool</t>
  </si>
  <si>
    <t>For user centric requirements, we convert GWT statements to test scripts within a test automation tool</t>
  </si>
  <si>
    <t>We derive test cases using test case generation tool</t>
  </si>
  <si>
    <t>We prepare functional test scripts [regression] using test automation tool</t>
  </si>
  <si>
    <t>We prepare functional test scripts [integration] using test automation tool</t>
  </si>
  <si>
    <t>We prepare NFR test scripts [performance] using test automation tool</t>
  </si>
  <si>
    <t>We prepare NFR test scripts [security] using test automation tool</t>
  </si>
  <si>
    <t>Sauce Labs</t>
  </si>
  <si>
    <t>Cloudbees Jenkins</t>
  </si>
  <si>
    <t>We prepare NFR test scripts [accessibility, etc.] using test automation tool</t>
  </si>
  <si>
    <t>We execute tests using automation tool - UI/UX/mobile</t>
  </si>
  <si>
    <t>We execute manual tests - UI/UX/mobile</t>
  </si>
  <si>
    <t>We prepare NFR test scripts [UI/UX/mobile] using test automation tool</t>
  </si>
  <si>
    <t>We execute automated tests as part of CI - UI/UX/mobile</t>
  </si>
  <si>
    <t>We execute automated tests as part of CI - accessibility, etc.</t>
  </si>
  <si>
    <t>We record defects in Excel or equivalent</t>
  </si>
  <si>
    <t>We record defects in ALM tool</t>
  </si>
  <si>
    <t>We (dev team) resolve and close defects in Excel or equivalent</t>
  </si>
  <si>
    <t>We (dev team) resolve and close defects in ALM tool (subject to test team validation)</t>
  </si>
  <si>
    <t>We (test team) send back recorded defects to dev team</t>
  </si>
  <si>
    <t>None / manual</t>
  </si>
  <si>
    <t>Rule-based</t>
  </si>
  <si>
    <t>Adaptive with auto-discovery</t>
  </si>
  <si>
    <t>AI-led pattern based</t>
  </si>
  <si>
    <t>MS Excel / equivalent</t>
  </si>
  <si>
    <t>Forms in KM tool</t>
  </si>
  <si>
    <t>VersionOne</t>
  </si>
  <si>
    <t>Pivotal Tracker</t>
  </si>
  <si>
    <t>Trello</t>
  </si>
  <si>
    <t>SprintGround</t>
  </si>
  <si>
    <t>Targetprocess</t>
  </si>
  <si>
    <t>Cobertura</t>
  </si>
  <si>
    <t>ALM Octane</t>
  </si>
  <si>
    <t>Opsview Monitor</t>
  </si>
  <si>
    <t>Scalr</t>
  </si>
  <si>
    <t>CloudBolt</t>
  </si>
  <si>
    <t>Predecessor 1 (incl. INIT)</t>
  </si>
  <si>
    <t>Requirements</t>
  </si>
  <si>
    <t>BRS</t>
  </si>
  <si>
    <t>SRS</t>
  </si>
  <si>
    <t>BRS/SRS</t>
  </si>
  <si>
    <t>DevOps lead</t>
  </si>
  <si>
    <t>Dev and Ops teams</t>
  </si>
  <si>
    <t>Team / owner role</t>
  </si>
  <si>
    <t>Initial activity</t>
  </si>
  <si>
    <t>Required for path analysis</t>
  </si>
  <si>
    <t>As part of test automation tool</t>
  </si>
  <si>
    <t>We integrate the requirements repository (to or as part of an ALM tool)</t>
  </si>
  <si>
    <t>Test case</t>
  </si>
  <si>
    <t>We translate the format into test scripts using manual workflow</t>
  </si>
  <si>
    <t>We translate the format into test scripts using  workflow over a workflow/rules engine or tool</t>
  </si>
  <si>
    <t>Test script</t>
  </si>
  <si>
    <t>Design</t>
  </si>
  <si>
    <t>HLDD</t>
  </si>
  <si>
    <t>Design (HL)</t>
  </si>
  <si>
    <t>Design (LL)</t>
  </si>
  <si>
    <t>LLDD</t>
  </si>
  <si>
    <t>UML</t>
  </si>
  <si>
    <t>We analyze (and mark) if the requirement is user-centric or system-centric</t>
  </si>
  <si>
    <t>HLDD/LLDD</t>
  </si>
  <si>
    <t>We incorporate parameters for runtime incl. language compiler &amp; runtime, IDE, domains/ zones - , high-security, DMZ, public, etc.</t>
  </si>
  <si>
    <t>Predecessor 4 (optional)</t>
  </si>
  <si>
    <t>Predecessor 5 (optional)</t>
  </si>
  <si>
    <t>We spin up VM and then configure environment using VM/cloud management tool over a VM provider</t>
  </si>
  <si>
    <t>Dev (incl. QA)</t>
  </si>
  <si>
    <t>API</t>
  </si>
  <si>
    <t>Template</t>
  </si>
  <si>
    <t>Service request</t>
  </si>
  <si>
    <t>ALM tool</t>
  </si>
  <si>
    <t>SDLC - Build and package</t>
  </si>
  <si>
    <t>We integrate coding environment (IDE, etc.) to tasks in ALM tool</t>
  </si>
  <si>
    <t>We code application using MDD tool in the workflow</t>
  </si>
  <si>
    <t>We integrate / update successful code builds to ALM tool</t>
  </si>
  <si>
    <t>Code</t>
  </si>
  <si>
    <t>We integrate environment provisioning task to ALM</t>
  </si>
  <si>
    <t>Test result</t>
  </si>
  <si>
    <t>Defect</t>
  </si>
  <si>
    <t>Release plan</t>
  </si>
  <si>
    <t>We check and fix code quality manually using checklist</t>
  </si>
  <si>
    <t>We check and fix code quality using code checking tool</t>
  </si>
  <si>
    <t>We check and fix code quality dynamically in-line as part of code checking tool/plug-in integration with IDE</t>
  </si>
  <si>
    <t>We check/track and fix code quality using tool driven metrics including technical debt</t>
  </si>
  <si>
    <t>Commit tag</t>
  </si>
  <si>
    <t>We commit code automatically as part of code workflow automation</t>
  </si>
  <si>
    <t>Specific language  compiler</t>
  </si>
  <si>
    <t>Test case generation tool</t>
  </si>
  <si>
    <t>Browser testing tool</t>
  </si>
  <si>
    <t>We unit test code using language-specific build / test tool</t>
  </si>
  <si>
    <t>We promote application code to one or more environment(s) as part of CD workflow</t>
  </si>
  <si>
    <t>Docker and related</t>
  </si>
  <si>
    <t>PowerShell scripts</t>
  </si>
  <si>
    <t>UNIX/LINUX Shell scripts</t>
  </si>
  <si>
    <t>Workflow tool with adaptive algorithm</t>
  </si>
  <si>
    <t>Tool with adaptive algorithm</t>
  </si>
  <si>
    <t>Chatbot or tool with adaptive algorithm</t>
  </si>
  <si>
    <t>MDD tool with adaptive code-generation algorithm</t>
  </si>
  <si>
    <t>Tool with adaptive build algorithm</t>
  </si>
  <si>
    <t>Tool with adaptive dashboards</t>
  </si>
  <si>
    <t>Tool with adaptive release planning</t>
  </si>
  <si>
    <t>Tool with adaptive monitoring</t>
  </si>
  <si>
    <t>Tool with adaptive CI</t>
  </si>
  <si>
    <t>Tool with adaptive CD</t>
  </si>
  <si>
    <t>Tool with adaptive/ bot based testing</t>
  </si>
  <si>
    <t>Tool with adaptive/ bot based test design</t>
  </si>
  <si>
    <t>Tool with adaptive provisioning</t>
  </si>
  <si>
    <t>Tool with adaptive clustering</t>
  </si>
  <si>
    <t>Tool with adaptive convergence modules</t>
  </si>
  <si>
    <t>Tool with adaptive workflow algoritm</t>
  </si>
  <si>
    <t>Tool with adaptive algoritm</t>
  </si>
  <si>
    <t>Total / Average / Max / Min</t>
  </si>
  <si>
    <t>We post-validate BRS with business users for traceability and coverage</t>
  </si>
  <si>
    <t>We post-validate SRS using BRS with IT team and architect SME for traceability and coverage</t>
  </si>
  <si>
    <t>We post-validate HLDD using the SRS for both traceability and coverage</t>
  </si>
  <si>
    <t>We code low level design (as pseudocode) as part of LLDD, from requirements</t>
  </si>
  <si>
    <t>We post-validate environment (dev team)</t>
  </si>
  <si>
    <t>We request for dev environment as a self service request</t>
  </si>
  <si>
    <t>We request for test/ QA environment as a self service request</t>
  </si>
  <si>
    <t>We push test scripts manually to a binary or arterfacts repository</t>
  </si>
  <si>
    <t>We post-validate LLDD using the HLDD for both traceability and coverage</t>
  </si>
  <si>
    <t>Tool with adaptive integration</t>
  </si>
  <si>
    <t>Tool with adaptive provisioning and cloud/container mgmt</t>
  </si>
  <si>
    <t>Google Hangout</t>
  </si>
  <si>
    <t>M10_Sourcecode_repository</t>
  </si>
  <si>
    <t>M11_Binary_repository</t>
  </si>
  <si>
    <t>M12_Build_package</t>
  </si>
  <si>
    <t>I13_Datavisualization</t>
  </si>
  <si>
    <t>I14_Release_mgmt</t>
  </si>
  <si>
    <t>M15_InVM_container_monitoring</t>
  </si>
  <si>
    <t>M16_Cluster_monitoring</t>
  </si>
  <si>
    <t>I17_Testauto_functional</t>
  </si>
  <si>
    <t>I18_Testauto_perf</t>
  </si>
  <si>
    <t>I19_Testauto_security</t>
  </si>
  <si>
    <t>I20_Testauto_UIUXmobile</t>
  </si>
  <si>
    <t>I21_Testdesign_TDDBDD</t>
  </si>
  <si>
    <t>M22_Env_provision</t>
  </si>
  <si>
    <t>M23_VM_VMclustering</t>
  </si>
  <si>
    <t>M24_HCI</t>
  </si>
  <si>
    <t>M25_Cloud_mgmt</t>
  </si>
  <si>
    <t>M26_Container_clustering</t>
  </si>
  <si>
    <t>M27_Infra_consolidated</t>
  </si>
  <si>
    <t>I28_Service_workflow</t>
  </si>
  <si>
    <t>30</t>
  </si>
  <si>
    <t>M29_Bot_AI</t>
  </si>
  <si>
    <t>M30_Database_mgmt</t>
  </si>
  <si>
    <t>M31_BigData_mgmt</t>
  </si>
  <si>
    <t>M32_IntelIT_automate</t>
  </si>
  <si>
    <t>M33_Incident_autoresolve</t>
  </si>
  <si>
    <t>I01_Doc_generate</t>
  </si>
  <si>
    <t>I02_Workflow_engine</t>
  </si>
  <si>
    <t>I03_Agile_tracker</t>
  </si>
  <si>
    <t>I04_Chat</t>
  </si>
  <si>
    <t>M05_Editor_IDE</t>
  </si>
  <si>
    <t>M06_Autocoding</t>
  </si>
  <si>
    <t>M07_Code_quality</t>
  </si>
  <si>
    <t>M08_Continuous_integration</t>
  </si>
  <si>
    <t>M09_Continous_deploy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</si>
</sst>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2"/>
      <color theme="0" tint="-0.249977111117893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0"/>
      <color theme="1"/>
      <name val="Calibri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249977111117893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38">
    <xf numFmtId="0" fontId="0" fillId="0" borderId="0" xfId="0"/>
    <xf numFmtId="0" fontId="1" fillId="0" borderId="0" xfId="0" applyFont="1" applyAlignment="1">
      <alignment vertical="top"/>
    </xf>
    <xf numFmtId="0" fontId="2" fillId="0" borderId="0" xfId="0" applyFont="1" applyAlignment="1">
      <alignment vertical="top"/>
    </xf>
    <xf numFmtId="0" fontId="2" fillId="0" borderId="0" xfId="0" applyFont="1" applyAlignment="1">
      <alignment vertical="top" wrapText="1"/>
    </xf>
    <xf numFmtId="0" fontId="0" fillId="0" borderId="0" xfId="0" applyFont="1" applyAlignment="1">
      <alignment vertical="top"/>
    </xf>
    <xf numFmtId="0" fontId="0" fillId="0" borderId="0" xfId="0" applyFont="1" applyAlignment="1">
      <alignment vertical="top" wrapText="1"/>
    </xf>
    <xf numFmtId="0" fontId="3" fillId="0" borderId="0" xfId="0" applyFont="1" applyAlignment="1">
      <alignment vertical="top"/>
    </xf>
    <xf numFmtId="0" fontId="4" fillId="3" borderId="0" xfId="0" applyFont="1" applyFill="1" applyAlignment="1">
      <alignment vertical="top"/>
    </xf>
    <xf numFmtId="0" fontId="5" fillId="0" borderId="0" xfId="0" applyFont="1" applyAlignment="1">
      <alignment vertical="top"/>
    </xf>
    <xf numFmtId="0" fontId="6" fillId="4" borderId="0" xfId="0" applyFont="1" applyFill="1" applyAlignment="1">
      <alignment vertical="top"/>
    </xf>
    <xf numFmtId="0" fontId="1" fillId="0" borderId="0" xfId="0" applyFont="1" applyAlignment="1">
      <alignment vertical="top" wrapText="1"/>
    </xf>
    <xf numFmtId="0" fontId="1" fillId="0" borderId="1" xfId="0" applyFont="1" applyBorder="1" applyAlignment="1">
      <alignment vertical="top" wrapText="1"/>
    </xf>
    <xf numFmtId="0" fontId="7" fillId="0" borderId="0" xfId="0" applyFont="1" applyAlignment="1">
      <alignment vertical="top"/>
    </xf>
    <xf numFmtId="0" fontId="4" fillId="5" borderId="0" xfId="0" applyFont="1" applyFill="1" applyAlignment="1">
      <alignment vertical="top"/>
    </xf>
    <xf numFmtId="0" fontId="8" fillId="5" borderId="0" xfId="0" applyFont="1" applyFill="1" applyAlignment="1">
      <alignment vertical="top"/>
    </xf>
    <xf numFmtId="0" fontId="8" fillId="6" borderId="0" xfId="0" applyFont="1" applyFill="1" applyAlignment="1">
      <alignment horizontal="center" vertical="top" wrapText="1"/>
    </xf>
    <xf numFmtId="0" fontId="9" fillId="3" borderId="0" xfId="0" applyFont="1" applyFill="1" applyAlignment="1">
      <alignment vertical="top"/>
    </xf>
    <xf numFmtId="0" fontId="10" fillId="3" borderId="0" xfId="0" applyFont="1" applyFill="1" applyAlignment="1">
      <alignment vertical="top"/>
    </xf>
    <xf numFmtId="0" fontId="10" fillId="0" borderId="0" xfId="0" applyFont="1" applyAlignment="1">
      <alignment vertical="top"/>
    </xf>
    <xf numFmtId="0" fontId="2" fillId="0" borderId="1" xfId="0" applyFont="1" applyBorder="1" applyAlignment="1">
      <alignment vertical="top" wrapText="1"/>
    </xf>
    <xf numFmtId="0" fontId="2" fillId="0" borderId="2" xfId="0" applyFont="1" applyBorder="1" applyAlignment="1">
      <alignment vertical="top" wrapText="1"/>
    </xf>
    <xf numFmtId="0" fontId="0" fillId="0" borderId="1" xfId="0" applyFont="1" applyBorder="1" applyAlignment="1">
      <alignment vertical="top" wrapText="1"/>
    </xf>
    <xf numFmtId="0" fontId="1" fillId="2" borderId="0" xfId="0" applyFont="1" applyFill="1" applyAlignment="1">
      <alignment vertical="top" wrapText="1"/>
    </xf>
    <xf numFmtId="0" fontId="11" fillId="8" borderId="1" xfId="0" applyFont="1" applyFill="1" applyBorder="1" applyAlignment="1">
      <alignment vertical="top" wrapText="1"/>
    </xf>
    <xf numFmtId="0" fontId="1" fillId="0" borderId="0" xfId="0" applyFont="1" applyAlignment="1">
      <alignment horizontal="center" vertical="top" wrapText="1"/>
    </xf>
    <xf numFmtId="0" fontId="3" fillId="0" borderId="0" xfId="0" applyFont="1" applyAlignment="1">
      <alignment vertical="top" wrapText="1"/>
    </xf>
    <xf numFmtId="0" fontId="3" fillId="0" borderId="1" xfId="0" applyFont="1" applyBorder="1" applyAlignment="1">
      <alignment vertical="top" wrapText="1"/>
    </xf>
    <xf numFmtId="0" fontId="14" fillId="0" borderId="0" xfId="0" applyFont="1" applyAlignment="1">
      <alignment vertical="top"/>
    </xf>
    <xf numFmtId="0" fontId="15" fillId="3" borderId="0" xfId="0" applyFont="1" applyFill="1" applyAlignment="1">
      <alignment vertical="top"/>
    </xf>
    <xf numFmtId="0" fontId="14" fillId="0" borderId="0" xfId="0" applyFont="1" applyAlignment="1">
      <alignment vertical="top" wrapText="1"/>
    </xf>
    <xf numFmtId="0" fontId="16" fillId="7" borderId="1" xfId="0" applyFont="1" applyFill="1" applyBorder="1" applyAlignment="1">
      <alignment vertical="top" wrapText="1"/>
    </xf>
    <xf numFmtId="0" fontId="14" fillId="7" borderId="1" xfId="0" applyFont="1" applyFill="1" applyBorder="1" applyAlignment="1">
      <alignment vertical="top" wrapText="1"/>
    </xf>
    <xf numFmtId="0" fontId="16" fillId="7" borderId="1" xfId="0" applyFont="1" applyFill="1" applyBorder="1" applyAlignment="1">
      <alignment wrapText="1"/>
    </xf>
    <xf numFmtId="0" fontId="2" fillId="0" borderId="3" xfId="0" applyFont="1" applyBorder="1" applyAlignment="1">
      <alignment vertical="top" wrapText="1"/>
    </xf>
    <xf numFmtId="0" fontId="2" fillId="0" borderId="4" xfId="0" applyFont="1" applyBorder="1" applyAlignment="1">
      <alignment vertical="top" wrapText="1"/>
    </xf>
    <xf numFmtId="0" fontId="1" fillId="0" borderId="5" xfId="0" applyFont="1" applyBorder="1" applyAlignment="1">
      <alignment vertical="top" wrapText="1"/>
    </xf>
    <xf numFmtId="0" fontId="2" fillId="0" borderId="6" xfId="0" applyFont="1" applyBorder="1" applyAlignment="1">
      <alignment vertical="top" wrapText="1"/>
    </xf>
    <xf numFmtId="0" fontId="17" fillId="0" borderId="6" xfId="0" applyFont="1" applyBorder="1" applyAlignment="1">
      <alignment vertical="top" wrapText="1"/>
    </xf>
  </cellXfs>
  <cellStyles count="1">
    <cellStyle name="Normal" xfId="0" builtinId="0"/>
  </cellStyles>
  <dxfs count="28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top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top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top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top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top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top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top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top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top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top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top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top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top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top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top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top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top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top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top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top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top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top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top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top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top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top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top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top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top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top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top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top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top" textRotation="0" wrapText="1" indent="0" justifyLastLine="0" shrinkToFit="0" readingOrder="0"/>
    </dxf>
    <dxf>
      <border outline="0"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general" vertical="top" textRotation="0" wrapText="1" indent="0" justifyLastLine="0" shrinkToFit="0" readingOrder="0"/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</dxfs>
  <tableStyles count="0" defaultTableStyle="TableStyleMedium9" defaultPivotStyle="PivotStyleMedium7"/>
  <colors>
    <mruColors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1" name="Table1" displayName="Table1" ref="A4:A40" totalsRowShown="0" headerRowDxfId="199" dataDxfId="198" tableBorderDxfId="197">
  <tableColumns count="1">
    <tableColumn id="1" name="Category" dataDxfId="196"/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B4:B15" totalsRowShown="0" headerRowDxfId="195" dataDxfId="193" headerRowBorderDxfId="194" tableBorderDxfId="192" totalsRowBorderDxfId="191">
  <tableColumns count="1">
    <tableColumn id="1" name="I01_Doc_generate" dataDxfId="190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id="3" name="Table3" displayName="Table3" ref="F4:F12" totalsRowShown="0" headerRowDxfId="189" dataDxfId="187" headerRowBorderDxfId="188" tableBorderDxfId="186" totalsRowBorderDxfId="185">
  <tableColumns count="1">
    <tableColumn id="1" name="I02_Workflow_engine" dataDxfId="184"/>
  </tableColumns>
  <tableStyleInfo name="TableStyleLight16" showFirstColumn="0" showLastColumn="0" showRowStripes="1" showColumnStripes="0"/>
</table>
</file>

<file path=xl/tables/table4.xml><?xml version="1.0" encoding="utf-8"?>
<table xmlns="http://schemas.openxmlformats.org/spreadsheetml/2006/main" id="4" name="Table4" displayName="Table4" ref="J4:J23" totalsRowShown="0" headerRowDxfId="183" dataDxfId="181" headerRowBorderDxfId="182" tableBorderDxfId="180" totalsRowBorderDxfId="179">
  <tableColumns count="1">
    <tableColumn id="1" name="I03_Agile_tracker" dataDxfId="178"/>
  </tableColumns>
  <tableStyleInfo name="TableStyleLight16" showFirstColumn="0" showLastColumn="0" showRowStripes="1" showColumnStripes="0"/>
</table>
</file>

<file path=xl/tables/table5.xml><?xml version="1.0" encoding="utf-8"?>
<table xmlns="http://schemas.openxmlformats.org/spreadsheetml/2006/main" id="5" name="Table5" displayName="Table5" ref="N4:N12" totalsRowShown="0" headerRowDxfId="177" dataDxfId="175" headerRowBorderDxfId="176" tableBorderDxfId="174" totalsRowBorderDxfId="173">
  <tableColumns count="1">
    <tableColumn id="1" name="I04_Chat" dataDxfId="172"/>
  </tableColumns>
  <tableStyleInfo name="TableStyleLight16" showFirstColumn="0" showLastColumn="0" showRowStripes="1" showColumnStripes="0"/>
</table>
</file>

<file path=xl/tables/table6.xml><?xml version="1.0" encoding="utf-8"?>
<table xmlns="http://schemas.openxmlformats.org/spreadsheetml/2006/main" id="6" name="Table6" displayName="Table6" ref="R4:R20" totalsRowShown="0" headerRowDxfId="171" dataDxfId="169" headerRowBorderDxfId="170" tableBorderDxfId="168" totalsRowBorderDxfId="167">
  <tableColumns count="1">
    <tableColumn id="1" name="M05_Editor_IDE" dataDxfId="166"/>
  </tableColumns>
  <tableStyleInfo name="TableStyleLight16" showFirstColumn="0" showLastColumn="0" showRowStripes="1" showColumnStripes="0"/>
</table>
</file>

<file path=xl/tables/table7.xml><?xml version="1.0" encoding="utf-8"?>
<table xmlns="http://schemas.openxmlformats.org/spreadsheetml/2006/main" id="7" name="Table7" displayName="Table7" ref="V4:V11" totalsRowShown="0" headerRowDxfId="165" dataDxfId="163" headerRowBorderDxfId="164" tableBorderDxfId="162" totalsRowBorderDxfId="161">
  <tableColumns count="1">
    <tableColumn id="1" name="M06_Autocoding" dataDxfId="160"/>
  </tableColumns>
  <tableStyleInfo name="TableStyleLight16" showFirstColumn="0" showLastColumn="0" showRowStripes="1" showColumnStripes="0"/>
</table>
</file>

<file path=xl/tables/table8.xml><?xml version="1.0" encoding="utf-8"?>
<table xmlns="http://schemas.openxmlformats.org/spreadsheetml/2006/main" id="8" name="Table8" displayName="Table8" ref="Z4:Z14" totalsRowShown="0" headerRowDxfId="159" dataDxfId="157" headerRowBorderDxfId="158" tableBorderDxfId="156" totalsRowBorderDxfId="155">
  <tableColumns count="1">
    <tableColumn id="1" name="M07_Code_quality" dataDxfId="154"/>
  </tableColumns>
  <tableStyleInfo name="TableStyleLight16" showFirstColumn="0" showLastColumn="0" showRowStripes="1" showColumnStripes="0"/>
</table>
</file>

<file path=xl/tables/table9.xml><?xml version="1.0" encoding="utf-8"?>
<table xmlns="http://schemas.openxmlformats.org/spreadsheetml/2006/main" id="9" name="Table9" displayName="Table9" ref="AD4:AD22" totalsRowShown="0" headerRowDxfId="153" dataDxfId="151" headerRowBorderDxfId="152" tableBorderDxfId="150" totalsRowBorderDxfId="149">
  <tableColumns count="1">
    <tableColumn id="1" name="M08_Continuous_integration" dataDxfId="148"/>
  </tableColumns>
  <tableStyleInfo name="TableStyleLight16" showFirstColumn="0" showLastColumn="0" showRowStripes="1" showColumnStripes="0"/>
</table>
</file>

<file path=xl/tables/table10.xml><?xml version="1.0" encoding="utf-8"?>
<table xmlns="http://schemas.openxmlformats.org/spreadsheetml/2006/main" id="10" name="Table10" displayName="Table10" ref="AH4:AH22" totalsRowShown="0" headerRowDxfId="147" dataDxfId="145" headerRowBorderDxfId="146" tableBorderDxfId="144" totalsRowBorderDxfId="143">
  <tableColumns count="1">
    <tableColumn id="1" name="M09_Continous_deploy" dataDxfId="142"/>
  </tableColumns>
  <tableStyleInfo name="TableStyleLight16" showFirstColumn="0" showLastColumn="0" showRowStripes="1" showColumnStripes="0"/>
</table>
</file>

<file path=xl/tables/table11.xml><?xml version="1.0" encoding="utf-8"?>
<table xmlns="http://schemas.openxmlformats.org/spreadsheetml/2006/main" id="11" name="Table11" displayName="Table11" ref="AL4:AL13" totalsRowShown="0" headerRowDxfId="141" dataDxfId="139" headerRowBorderDxfId="140" tableBorderDxfId="138" totalsRowBorderDxfId="137">
  <tableColumns count="1">
    <tableColumn id="1" name="M10_Sourcecode_repository" dataDxfId="136"/>
  </tableColumns>
  <tableStyleInfo name="TableStyleLight16" showFirstColumn="0" showLastColumn="0" showRowStripes="1" showColumnStripes="0"/>
</table>
</file>

<file path=xl/tables/table12.xml><?xml version="1.0" encoding="utf-8"?>
<table xmlns="http://schemas.openxmlformats.org/spreadsheetml/2006/main" id="12" name="Table12" displayName="Table12" ref="AP4:AP10" totalsRowShown="0" headerRowDxfId="135" dataDxfId="133" headerRowBorderDxfId="134" tableBorderDxfId="132" totalsRowBorderDxfId="131">
  <tableColumns count="1">
    <tableColumn id="1" name="M11_Binary_repository" dataDxfId="130"/>
  </tableColumns>
  <tableStyleInfo name="TableStyleLight16" showFirstColumn="0" showLastColumn="0" showRowStripes="1" showColumnStripes="0"/>
</table>
</file>

<file path=xl/tables/table13.xml><?xml version="1.0" encoding="utf-8"?>
<table xmlns="http://schemas.openxmlformats.org/spreadsheetml/2006/main" id="13" name="Table13" displayName="Table13" ref="AT4:AT16" totalsRowShown="0" headerRowDxfId="129" dataDxfId="127" headerRowBorderDxfId="128" tableBorderDxfId="126" totalsRowBorderDxfId="125">
  <tableColumns count="1">
    <tableColumn id="1" name="M12_Build_package" dataDxfId="124"/>
  </tableColumns>
  <tableStyleInfo name="TableStyleLight16" showFirstColumn="0" showLastColumn="0" showRowStripes="1" showColumnStripes="0"/>
</table>
</file>

<file path=xl/tables/table14.xml><?xml version="1.0" encoding="utf-8"?>
<table xmlns="http://schemas.openxmlformats.org/spreadsheetml/2006/main" id="14" name="Table14" displayName="Table14" ref="AX4:AX12" totalsRowShown="0" headerRowDxfId="123" dataDxfId="121" headerRowBorderDxfId="122" tableBorderDxfId="120" totalsRowBorderDxfId="119">
  <tableColumns count="1">
    <tableColumn id="1" name="I13_Datavisualization" dataDxfId="118"/>
  </tableColumns>
  <tableStyleInfo name="TableStyleLight16" showFirstColumn="0" showLastColumn="0" showRowStripes="1" showColumnStripes="0"/>
</table>
</file>

<file path=xl/tables/table15.xml><?xml version="1.0" encoding="utf-8"?>
<table xmlns="http://schemas.openxmlformats.org/spreadsheetml/2006/main" id="15" name="Table15" displayName="Table15" ref="BB4:BB12" totalsRowShown="0" headerRowDxfId="117" dataDxfId="115" headerRowBorderDxfId="116" tableBorderDxfId="114" totalsRowBorderDxfId="113">
  <tableColumns count="1">
    <tableColumn id="1" name="I14_Release_mgmt" dataDxfId="112"/>
  </tableColumns>
  <tableStyleInfo name="TableStyleLight16" showFirstColumn="0" showLastColumn="0" showRowStripes="1" showColumnStripes="0"/>
</table>
</file>

<file path=xl/tables/table16.xml><?xml version="1.0" encoding="utf-8"?>
<table xmlns="http://schemas.openxmlformats.org/spreadsheetml/2006/main" id="16" name="Table16" displayName="Table16" ref="BF4:BF20" totalsRowShown="0" headerRowDxfId="111" dataDxfId="109" headerRowBorderDxfId="110" tableBorderDxfId="108" totalsRowBorderDxfId="107">
  <tableColumns count="1">
    <tableColumn id="1" name="M15_InVM_container_monitoring" dataDxfId="106"/>
  </tableColumns>
  <tableStyleInfo name="TableStyleLight16" showFirstColumn="0" showLastColumn="0" showRowStripes="1" showColumnStripes="0"/>
</table>
</file>

<file path=xl/tables/table17.xml><?xml version="1.0" encoding="utf-8"?>
<table xmlns="http://schemas.openxmlformats.org/spreadsheetml/2006/main" id="17" name="Table17" displayName="Table17" ref="BJ4:BJ9" totalsRowShown="0" headerRowDxfId="105" dataDxfId="103" headerRowBorderDxfId="104" tableBorderDxfId="102" totalsRowBorderDxfId="101">
  <tableColumns count="1">
    <tableColumn id="1" name="M16_Cluster_monitoring" dataDxfId="100"/>
  </tableColumns>
  <tableStyleInfo name="TableStyleLight16" showFirstColumn="0" showLastColumn="0" showRowStripes="1" showColumnStripes="0"/>
</table>
</file>

<file path=xl/tables/table18.xml><?xml version="1.0" encoding="utf-8"?>
<table xmlns="http://schemas.openxmlformats.org/spreadsheetml/2006/main" id="18" name="Table18" displayName="Table18" ref="BN4:BN15" totalsRowShown="0" headerRowDxfId="99" dataDxfId="97" headerRowBorderDxfId="98" tableBorderDxfId="96" totalsRowBorderDxfId="95">
  <tableColumns count="1">
    <tableColumn id="1" name="I17_Testauto_functional" dataDxfId="94"/>
  </tableColumns>
  <tableStyleInfo name="TableStyleLight16" showFirstColumn="0" showLastColumn="0" showRowStripes="1" showColumnStripes="0"/>
</table>
</file>

<file path=xl/tables/table19.xml><?xml version="1.0" encoding="utf-8"?>
<table xmlns="http://schemas.openxmlformats.org/spreadsheetml/2006/main" id="19" name="Table19" displayName="Table19" ref="BR4:BR10" totalsRowShown="0" headerRowDxfId="93" dataDxfId="91" headerRowBorderDxfId="92" tableBorderDxfId="90" totalsRowBorderDxfId="89">
  <tableColumns count="1">
    <tableColumn id="1" name="I18_Testauto_perf" dataDxfId="88"/>
  </tableColumns>
  <tableStyleInfo name="TableStyleLight16" showFirstColumn="0" showLastColumn="0" showRowStripes="1" showColumnStripes="0"/>
</table>
</file>

<file path=xl/tables/table20.xml><?xml version="1.0" encoding="utf-8"?>
<table xmlns="http://schemas.openxmlformats.org/spreadsheetml/2006/main" id="20" name="Table20" displayName="Table20" ref="BV4:BV11" totalsRowShown="0" headerRowDxfId="87" dataDxfId="85" headerRowBorderDxfId="86" tableBorderDxfId="84" totalsRowBorderDxfId="83">
  <tableColumns count="1">
    <tableColumn id="1" name="I19_Testauto_security" dataDxfId="82"/>
  </tableColumns>
  <tableStyleInfo name="TableStyleLight16" showFirstColumn="0" showLastColumn="0" showRowStripes="1" showColumnStripes="0"/>
</table>
</file>

<file path=xl/tables/table21.xml><?xml version="1.0" encoding="utf-8"?>
<table xmlns="http://schemas.openxmlformats.org/spreadsheetml/2006/main" id="21" name="Table21" displayName="Table21" ref="BZ4:BZ15" totalsRowShown="0" headerRowDxfId="81" dataDxfId="79" headerRowBorderDxfId="80" tableBorderDxfId="78" totalsRowBorderDxfId="77">
  <tableColumns count="1">
    <tableColumn id="1" name="I20_Testauto_UIUXmobile" dataDxfId="76"/>
  </tableColumns>
  <tableStyleInfo name="TableStyleLight16" showFirstColumn="0" showLastColumn="0" showRowStripes="1" showColumnStripes="0"/>
</table>
</file>

<file path=xl/tables/table22.xml><?xml version="1.0" encoding="utf-8"?>
<table xmlns="http://schemas.openxmlformats.org/spreadsheetml/2006/main" id="22" name="Table22" displayName="Table22" ref="CD4:CD15" totalsRowShown="0" headerRowDxfId="75" dataDxfId="73" headerRowBorderDxfId="74" tableBorderDxfId="72" totalsRowBorderDxfId="71">
  <tableColumns count="1">
    <tableColumn id="1" name="I21_Testdesign_TDDBDD" dataDxfId="70"/>
  </tableColumns>
  <tableStyleInfo name="TableStyleLight16" showFirstColumn="0" showLastColumn="0" showRowStripes="1" showColumnStripes="0"/>
</table>
</file>

<file path=xl/tables/table23.xml><?xml version="1.0" encoding="utf-8"?>
<table xmlns="http://schemas.openxmlformats.org/spreadsheetml/2006/main" id="23" name="Table23" displayName="Table23" ref="CH4:CH18" totalsRowShown="0" headerRowDxfId="69" dataDxfId="67" headerRowBorderDxfId="68" tableBorderDxfId="66" totalsRowBorderDxfId="65">
  <tableColumns count="1">
    <tableColumn id="1" name="M22_Env_provision" dataDxfId="64"/>
  </tableColumns>
  <tableStyleInfo name="TableStyleLight16" showFirstColumn="0" showLastColumn="0" showRowStripes="1" showColumnStripes="0"/>
</table>
</file>

<file path=xl/tables/table24.xml><?xml version="1.0" encoding="utf-8"?>
<table xmlns="http://schemas.openxmlformats.org/spreadsheetml/2006/main" id="24" name="Table24" displayName="Table24" ref="CL4:CL12" totalsRowShown="0" headerRowDxfId="63" dataDxfId="61" headerRowBorderDxfId="62" tableBorderDxfId="60" totalsRowBorderDxfId="59">
  <tableColumns count="1">
    <tableColumn id="1" name="M23_VM_VMclustering" dataDxfId="58"/>
  </tableColumns>
  <tableStyleInfo name="TableStyleLight16" showFirstColumn="0" showLastColumn="0" showRowStripes="1" showColumnStripes="0"/>
</table>
</file>

<file path=xl/tables/table25.xml><?xml version="1.0" encoding="utf-8"?>
<table xmlns="http://schemas.openxmlformats.org/spreadsheetml/2006/main" id="25" name="Table25" displayName="Table25" ref="CP4:CP10" totalsRowShown="0" headerRowDxfId="57" dataDxfId="55" headerRowBorderDxfId="56" tableBorderDxfId="54" totalsRowBorderDxfId="53">
  <tableColumns count="1">
    <tableColumn id="1" name="M24_HCI" dataDxfId="52"/>
  </tableColumns>
  <tableStyleInfo name="TableStyleLight16" showFirstColumn="0" showLastColumn="0" showRowStripes="1" showColumnStripes="0"/>
</table>
</file>

<file path=xl/tables/table26.xml><?xml version="1.0" encoding="utf-8"?>
<table xmlns="http://schemas.openxmlformats.org/spreadsheetml/2006/main" id="26" name="Table26" displayName="Table26" ref="CT4:CT20" totalsRowShown="0" headerRowDxfId="51" dataDxfId="49" headerRowBorderDxfId="50" tableBorderDxfId="48" totalsRowBorderDxfId="47">
  <tableColumns count="1">
    <tableColumn id="1" name="M25_Cloud_mgmt" dataDxfId="46"/>
  </tableColumns>
  <tableStyleInfo name="TableStyleLight16" showFirstColumn="0" showLastColumn="0" showRowStripes="1" showColumnStripes="0"/>
</table>
</file>

<file path=xl/tables/table27.xml><?xml version="1.0" encoding="utf-8"?>
<table xmlns="http://schemas.openxmlformats.org/spreadsheetml/2006/main" id="27" name="Table27" displayName="Table27" ref="CX4:CX13" totalsRowShown="0" headerRowDxfId="45" dataDxfId="43" headerRowBorderDxfId="44" tableBorderDxfId="42" totalsRowBorderDxfId="41">
  <tableColumns count="1">
    <tableColumn id="1" name="M26_Container_clustering" dataDxfId="40"/>
  </tableColumns>
  <tableStyleInfo name="TableStyleLight16" showFirstColumn="0" showLastColumn="0" showRowStripes="1" showColumnStripes="0"/>
</table>
</file>

<file path=xl/tables/table28.xml><?xml version="1.0" encoding="utf-8"?>
<table xmlns="http://schemas.openxmlformats.org/spreadsheetml/2006/main" id="28" name="Table28" displayName="Table28" ref="DB4:DB40" totalsRowShown="0" headerRowDxfId="39" dataDxfId="37" headerRowBorderDxfId="38" tableBorderDxfId="36" totalsRowBorderDxfId="35">
  <tableColumns count="1">
    <tableColumn id="1" name="M27_Infra_consolidated" dataDxfId="34"/>
  </tableColumns>
  <tableStyleInfo name="TableStyleLight16" showFirstColumn="0" showLastColumn="0" showRowStripes="1" showColumnStripes="0"/>
</table>
</file>

<file path=xl/tables/table29.xml><?xml version="1.0" encoding="utf-8"?>
<table xmlns="http://schemas.openxmlformats.org/spreadsheetml/2006/main" id="29" name="Table29" displayName="Table29" ref="DF4:DF13" totalsRowShown="0" headerRowDxfId="33" dataDxfId="31" headerRowBorderDxfId="32" tableBorderDxfId="30" totalsRowBorderDxfId="29">
  <tableColumns count="1">
    <tableColumn id="1" name="I28_Service_workflow" dataDxfId="28"/>
  </tableColumns>
  <tableStyleInfo name="TableStyleLight16" showFirstColumn="0" showLastColumn="0" showRowStripes="1" showColumnStripes="0"/>
</table>
</file>

<file path=xl/tables/table30.xml><?xml version="1.0" encoding="utf-8"?>
<table xmlns="http://schemas.openxmlformats.org/spreadsheetml/2006/main" id="30" name="Table30" displayName="Table30" ref="DJ4:DJ12" totalsRowShown="0" headerRowDxfId="27" dataDxfId="25" headerRowBorderDxfId="26" tableBorderDxfId="24" totalsRowBorderDxfId="23">
  <tableColumns count="1">
    <tableColumn id="1" name="M29_Bot_AI" dataDxfId="22"/>
  </tableColumns>
  <tableStyleInfo name="TableStyleLight16" showFirstColumn="0" showLastColumn="0" showRowStripes="1" showColumnStripes="0"/>
</table>
</file>

<file path=xl/tables/table31.xml><?xml version="1.0" encoding="utf-8"?>
<table xmlns="http://schemas.openxmlformats.org/spreadsheetml/2006/main" id="31" name="Table31" displayName="Table31" ref="DN3:DN13" totalsRowShown="0" headerRowDxfId="21" dataDxfId="20" tableBorderDxfId="19">
  <tableColumns count="1">
    <tableColumn id="1" name="30" dataDxfId="18"/>
  </tableColumns>
  <tableStyleInfo name="TableStyleLight16" showFirstColumn="0" showLastColumn="0" showRowStripes="1" showColumnStripes="0"/>
</table>
</file>

<file path=xl/tables/table32.xml><?xml version="1.0" encoding="utf-8"?>
<table xmlns="http://schemas.openxmlformats.org/spreadsheetml/2006/main" id="32" name="Table32" displayName="Table32" ref="DR4:DR9" totalsRowShown="0" headerRowDxfId="17" dataDxfId="15" headerRowBorderDxfId="16" tableBorderDxfId="14" totalsRowBorderDxfId="13">
  <tableColumns count="1">
    <tableColumn id="1" name="M31_BigData_mgmt" dataDxfId="12"/>
  </tableColumns>
  <tableStyleInfo name="TableStyleLight16" showFirstColumn="0" showLastColumn="0" showRowStripes="1" showColumnStripes="0"/>
</table>
</file>

<file path=xl/tables/table33.xml><?xml version="1.0" encoding="utf-8"?>
<table xmlns="http://schemas.openxmlformats.org/spreadsheetml/2006/main" id="33" name="Table33" displayName="Table33" ref="DV4:DV12" totalsRowShown="0" headerRowDxfId="11" dataDxfId="9" headerRowBorderDxfId="10" tableBorderDxfId="8" totalsRowBorderDxfId="7">
  <tableColumns count="1">
    <tableColumn id="1" name="M32_IntelIT_automate" dataDxfId="6"/>
  </tableColumns>
  <tableStyleInfo name="TableStyleLight16" showFirstColumn="0" showLastColumn="0" showRowStripes="1" showColumnStripes="0"/>
</table>
</file>

<file path=xl/tables/table34.xml><?xml version="1.0" encoding="utf-8"?>
<table xmlns="http://schemas.openxmlformats.org/spreadsheetml/2006/main" id="34" name="Table34" displayName="Table34" ref="DZ4:DZ8" totalsRowShown="0" headerRowDxfId="5" dataDxfId="3" headerRowBorderDxfId="4" tableBorderDxfId="2" totalsRowBorderDxfId="1">
  <tableColumns count="1">
    <tableColumn id="1" name="M33_Incident_autoresolve" dataDxfId="0"/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table" Target="../tables/table11.xml"/><Relationship Id="rId18" Type="http://schemas.openxmlformats.org/officeDocument/2006/relationships/table" Target="../tables/table16.xml"/><Relationship Id="rId26" Type="http://schemas.openxmlformats.org/officeDocument/2006/relationships/table" Target="../tables/table24.xml"/><Relationship Id="rId21" Type="http://schemas.openxmlformats.org/officeDocument/2006/relationships/table" Target="../tables/table19.xml"/><Relationship Id="rId34" Type="http://schemas.openxmlformats.org/officeDocument/2006/relationships/table" Target="../tables/table32.xml"/><Relationship Id="rId7" Type="http://schemas.openxmlformats.org/officeDocument/2006/relationships/table" Target="../tables/table5.xml"/><Relationship Id="rId12" Type="http://schemas.openxmlformats.org/officeDocument/2006/relationships/table" Target="../tables/table10.xml"/><Relationship Id="rId17" Type="http://schemas.openxmlformats.org/officeDocument/2006/relationships/table" Target="../tables/table15.xml"/><Relationship Id="rId25" Type="http://schemas.openxmlformats.org/officeDocument/2006/relationships/table" Target="../tables/table23.xml"/><Relationship Id="rId33" Type="http://schemas.openxmlformats.org/officeDocument/2006/relationships/table" Target="../tables/table31.xml"/><Relationship Id="rId2" Type="http://schemas.openxmlformats.org/officeDocument/2006/relationships/vmlDrawing" Target="../drawings/vmlDrawing1.vml"/><Relationship Id="rId16" Type="http://schemas.openxmlformats.org/officeDocument/2006/relationships/table" Target="../tables/table14.xml"/><Relationship Id="rId20" Type="http://schemas.openxmlformats.org/officeDocument/2006/relationships/table" Target="../tables/table18.xml"/><Relationship Id="rId29" Type="http://schemas.openxmlformats.org/officeDocument/2006/relationships/table" Target="../tables/table27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4.xml"/><Relationship Id="rId11" Type="http://schemas.openxmlformats.org/officeDocument/2006/relationships/table" Target="../tables/table9.xml"/><Relationship Id="rId24" Type="http://schemas.openxmlformats.org/officeDocument/2006/relationships/table" Target="../tables/table22.xml"/><Relationship Id="rId32" Type="http://schemas.openxmlformats.org/officeDocument/2006/relationships/table" Target="../tables/table30.xml"/><Relationship Id="rId37" Type="http://schemas.openxmlformats.org/officeDocument/2006/relationships/comments" Target="../comments1.xml"/><Relationship Id="rId5" Type="http://schemas.openxmlformats.org/officeDocument/2006/relationships/table" Target="../tables/table3.xml"/><Relationship Id="rId15" Type="http://schemas.openxmlformats.org/officeDocument/2006/relationships/table" Target="../tables/table13.xml"/><Relationship Id="rId23" Type="http://schemas.openxmlformats.org/officeDocument/2006/relationships/table" Target="../tables/table21.xml"/><Relationship Id="rId28" Type="http://schemas.openxmlformats.org/officeDocument/2006/relationships/table" Target="../tables/table26.xml"/><Relationship Id="rId36" Type="http://schemas.openxmlformats.org/officeDocument/2006/relationships/table" Target="../tables/table34.xml"/><Relationship Id="rId10" Type="http://schemas.openxmlformats.org/officeDocument/2006/relationships/table" Target="../tables/table8.xml"/><Relationship Id="rId19" Type="http://schemas.openxmlformats.org/officeDocument/2006/relationships/table" Target="../tables/table17.xml"/><Relationship Id="rId31" Type="http://schemas.openxmlformats.org/officeDocument/2006/relationships/table" Target="../tables/table29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Relationship Id="rId14" Type="http://schemas.openxmlformats.org/officeDocument/2006/relationships/table" Target="../tables/table12.xml"/><Relationship Id="rId22" Type="http://schemas.openxmlformats.org/officeDocument/2006/relationships/table" Target="../tables/table20.xml"/><Relationship Id="rId27" Type="http://schemas.openxmlformats.org/officeDocument/2006/relationships/table" Target="../tables/table25.xml"/><Relationship Id="rId30" Type="http://schemas.openxmlformats.org/officeDocument/2006/relationships/table" Target="../tables/table28.xml"/><Relationship Id="rId35" Type="http://schemas.openxmlformats.org/officeDocument/2006/relationships/table" Target="../tables/table33.xml"/><Relationship Id="rId8" Type="http://schemas.openxmlformats.org/officeDocument/2006/relationships/table" Target="../tables/table6.xml"/><Relationship Id="rId3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Q163"/>
  <sheetViews>
    <sheetView tabSelected="1" workbookViewId="0">
      <pane xSplit="5" ySplit="5" topLeftCell="F7" activePane="bottomRight" state="frozen"/>
      <selection pane="topRight" activeCell="F1" sqref="F1"/>
      <selection pane="bottomLeft" activeCell="A6" sqref="A6"/>
      <selection pane="bottomRight"/>
    </sheetView>
  </sheetViews>
  <sheetFormatPr defaultRowHeight="15.75" x14ac:dyDescent="0.25"/>
  <cols>
    <col min="1" max="1" width="9" style="5" customWidth="1"/>
    <col min="2" max="2" width="18.125" style="5" customWidth="1"/>
    <col min="3" max="3" width="40.875" style="5" customWidth="1"/>
    <col min="4" max="4" width="1.25" style="5" hidden="1" customWidth="1"/>
    <col min="5" max="60" width="12.625" style="5" customWidth="1"/>
    <col min="61" max="16384" width="9" style="5"/>
  </cols>
  <sheetData>
    <row r="1" spans="1:17" s="8" customFormat="1" ht="18.75" x14ac:dyDescent="0.25">
      <c r="A1" s="9" t="s">
        <v>6</v>
      </c>
      <c r="B1" s="9"/>
      <c r="C1" s="9"/>
    </row>
    <row r="2" spans="1:17" s="4" customFormat="1" x14ac:dyDescent="0.25">
      <c r="A2" s="13" t="s">
        <v>5</v>
      </c>
      <c r="B2" s="14"/>
      <c r="C2" s="14"/>
      <c r="J2" s="12"/>
      <c r="L2" s="12"/>
    </row>
    <row r="3" spans="1:17" s="4" customFormat="1" x14ac:dyDescent="0.25">
      <c r="A3" s="6"/>
    </row>
    <row r="4" spans="1:17" s="6" customFormat="1" ht="31.5" x14ac:dyDescent="0.25">
      <c r="A4" s="6" t="s">
        <v>4</v>
      </c>
      <c r="B4" s="6" t="s">
        <v>50</v>
      </c>
      <c r="C4" s="6" t="s">
        <v>49</v>
      </c>
      <c r="E4" s="15" t="s">
        <v>14</v>
      </c>
      <c r="F4" s="15" t="s">
        <v>215</v>
      </c>
      <c r="G4" s="15" t="s">
        <v>216</v>
      </c>
      <c r="H4" s="15" t="s">
        <v>355</v>
      </c>
      <c r="I4" s="15" t="s">
        <v>16</v>
      </c>
      <c r="J4" s="15" t="s">
        <v>17</v>
      </c>
      <c r="K4" s="15" t="s">
        <v>380</v>
      </c>
      <c r="L4" s="15" t="s">
        <v>381</v>
      </c>
      <c r="M4" s="15" t="s">
        <v>15</v>
      </c>
      <c r="N4" s="15" t="s">
        <v>362</v>
      </c>
      <c r="O4" s="15" t="s">
        <v>18</v>
      </c>
      <c r="P4" s="15" t="s">
        <v>19</v>
      </c>
      <c r="Q4" s="15" t="s">
        <v>20</v>
      </c>
    </row>
    <row r="5" spans="1:17" s="7" customFormat="1" x14ac:dyDescent="0.25">
      <c r="A5" s="7" t="s">
        <v>9</v>
      </c>
      <c r="B5" s="7" t="s">
        <v>10</v>
      </c>
    </row>
    <row r="6" spans="1:17" hidden="1" x14ac:dyDescent="0.25">
      <c r="A6" s="21" t="s">
        <v>36</v>
      </c>
      <c r="B6" s="21" t="s">
        <v>363</v>
      </c>
      <c r="C6" s="21" t="s">
        <v>364</v>
      </c>
      <c r="D6" s="21"/>
      <c r="E6" s="21" t="s">
        <v>7</v>
      </c>
      <c r="F6" s="23">
        <v>0</v>
      </c>
      <c r="G6" s="23">
        <v>0</v>
      </c>
      <c r="H6" s="23"/>
      <c r="I6" s="23"/>
      <c r="J6" s="23"/>
      <c r="K6" s="23"/>
      <c r="L6" s="23"/>
      <c r="M6" s="23"/>
      <c r="N6" s="23"/>
      <c r="O6" s="23"/>
      <c r="P6" s="23"/>
      <c r="Q6" s="23"/>
    </row>
    <row r="7" spans="1:17" ht="31.5" x14ac:dyDescent="0.25">
      <c r="A7" s="21">
        <v>1</v>
      </c>
      <c r="B7" s="21" t="s">
        <v>11</v>
      </c>
      <c r="C7" s="21" t="s">
        <v>21</v>
      </c>
      <c r="D7" s="21"/>
      <c r="E7" s="21" t="s">
        <v>7</v>
      </c>
      <c r="F7" s="21">
        <v>5</v>
      </c>
      <c r="G7" s="21">
        <v>5</v>
      </c>
      <c r="H7" s="21" t="str">
        <f>A6</f>
        <v>INIT</v>
      </c>
      <c r="I7" s="21"/>
      <c r="J7" s="21"/>
      <c r="K7" s="21"/>
      <c r="L7" s="21"/>
      <c r="M7" s="21" t="s">
        <v>52</v>
      </c>
      <c r="N7" s="21" t="s">
        <v>58</v>
      </c>
      <c r="O7" s="21" t="s">
        <v>356</v>
      </c>
      <c r="P7" s="21" t="s">
        <v>357</v>
      </c>
      <c r="Q7" s="21" t="s">
        <v>44</v>
      </c>
    </row>
    <row r="8" spans="1:17" ht="31.5" x14ac:dyDescent="0.25">
      <c r="A8" s="21">
        <v>2</v>
      </c>
      <c r="B8" s="21" t="s">
        <v>11</v>
      </c>
      <c r="C8" s="21" t="s">
        <v>22</v>
      </c>
      <c r="D8" s="21"/>
      <c r="E8" s="21" t="s">
        <v>7</v>
      </c>
      <c r="F8" s="21">
        <v>3</v>
      </c>
      <c r="G8" s="21">
        <v>2</v>
      </c>
      <c r="H8" s="21">
        <f>A7</f>
        <v>1</v>
      </c>
      <c r="I8" s="21"/>
      <c r="J8" s="21"/>
      <c r="K8" s="21"/>
      <c r="L8" s="21"/>
      <c r="M8" s="21" t="s">
        <v>52</v>
      </c>
      <c r="N8" s="21" t="s">
        <v>59</v>
      </c>
      <c r="O8" s="21" t="s">
        <v>357</v>
      </c>
      <c r="P8" s="21" t="s">
        <v>358</v>
      </c>
      <c r="Q8" s="21" t="s">
        <v>44</v>
      </c>
    </row>
    <row r="9" spans="1:17" ht="31.5" x14ac:dyDescent="0.25">
      <c r="A9" s="21">
        <v>3</v>
      </c>
      <c r="B9" s="21" t="s">
        <v>11</v>
      </c>
      <c r="C9" s="21" t="s">
        <v>23</v>
      </c>
      <c r="D9" s="21"/>
      <c r="E9" s="21" t="s">
        <v>7</v>
      </c>
      <c r="F9" s="21">
        <v>2</v>
      </c>
      <c r="G9" s="21">
        <v>2</v>
      </c>
      <c r="H9" s="21">
        <f>A8</f>
        <v>2</v>
      </c>
      <c r="I9" s="21"/>
      <c r="J9" s="21"/>
      <c r="K9" s="21"/>
      <c r="L9" s="21"/>
      <c r="M9" s="21" t="s">
        <v>52</v>
      </c>
      <c r="N9" s="21" t="s">
        <v>57</v>
      </c>
      <c r="O9" s="21" t="s">
        <v>358</v>
      </c>
      <c r="P9" s="21" t="s">
        <v>358</v>
      </c>
      <c r="Q9" s="21" t="s">
        <v>44</v>
      </c>
    </row>
    <row r="10" spans="1:17" ht="31.5" x14ac:dyDescent="0.25">
      <c r="A10" s="21">
        <v>4</v>
      </c>
      <c r="B10" s="21" t="s">
        <v>11</v>
      </c>
      <c r="C10" s="21" t="s">
        <v>429</v>
      </c>
      <c r="D10" s="21"/>
      <c r="E10" s="21" t="s">
        <v>7</v>
      </c>
      <c r="F10" s="21">
        <v>3</v>
      </c>
      <c r="G10" s="21">
        <v>3</v>
      </c>
      <c r="H10" s="21">
        <f>A7</f>
        <v>1</v>
      </c>
      <c r="I10" s="21"/>
      <c r="J10" s="21"/>
      <c r="K10" s="21"/>
      <c r="L10" s="21"/>
      <c r="M10" s="21" t="s">
        <v>51</v>
      </c>
      <c r="N10" s="21" t="s">
        <v>59</v>
      </c>
      <c r="O10" s="21" t="s">
        <v>357</v>
      </c>
      <c r="P10" s="21" t="s">
        <v>357</v>
      </c>
      <c r="Q10" s="21" t="s">
        <v>44</v>
      </c>
    </row>
    <row r="11" spans="1:17" ht="31.5" x14ac:dyDescent="0.25">
      <c r="A11" s="21">
        <v>5</v>
      </c>
      <c r="B11" s="21" t="s">
        <v>11</v>
      </c>
      <c r="C11" s="21" t="s">
        <v>430</v>
      </c>
      <c r="D11" s="21"/>
      <c r="E11" s="21" t="s">
        <v>7</v>
      </c>
      <c r="F11" s="21">
        <v>2</v>
      </c>
      <c r="G11" s="21">
        <v>2</v>
      </c>
      <c r="H11" s="21">
        <f>A8</f>
        <v>2</v>
      </c>
      <c r="I11" s="21">
        <f>A9</f>
        <v>3</v>
      </c>
      <c r="J11" s="21"/>
      <c r="K11" s="21"/>
      <c r="L11" s="21"/>
      <c r="M11" s="21" t="s">
        <v>51</v>
      </c>
      <c r="N11" s="21" t="s">
        <v>59</v>
      </c>
      <c r="O11" s="21" t="s">
        <v>358</v>
      </c>
      <c r="P11" s="21" t="s">
        <v>358</v>
      </c>
      <c r="Q11" s="21" t="s">
        <v>44</v>
      </c>
    </row>
    <row r="12" spans="1:17" ht="31.5" x14ac:dyDescent="0.25">
      <c r="A12" s="21">
        <v>6</v>
      </c>
      <c r="B12" s="21" t="s">
        <v>11</v>
      </c>
      <c r="C12" s="21" t="s">
        <v>24</v>
      </c>
      <c r="D12" s="21"/>
      <c r="E12" s="21" t="s">
        <v>7</v>
      </c>
      <c r="F12" s="21">
        <v>0.5</v>
      </c>
      <c r="G12" s="21">
        <v>0.5</v>
      </c>
      <c r="H12" s="21">
        <f>A10</f>
        <v>4</v>
      </c>
      <c r="I12" s="21">
        <f>A11</f>
        <v>5</v>
      </c>
      <c r="J12" s="21"/>
      <c r="K12" s="21"/>
      <c r="L12" s="21"/>
      <c r="M12" s="21" t="s">
        <v>1</v>
      </c>
      <c r="N12" s="21" t="s">
        <v>59</v>
      </c>
      <c r="O12" s="21" t="s">
        <v>359</v>
      </c>
      <c r="P12" s="21" t="s">
        <v>359</v>
      </c>
      <c r="Q12" s="21" t="s">
        <v>44</v>
      </c>
    </row>
    <row r="13" spans="1:17" ht="31.5" x14ac:dyDescent="0.25">
      <c r="A13" s="21">
        <v>7</v>
      </c>
      <c r="B13" s="21" t="s">
        <v>11</v>
      </c>
      <c r="C13" s="21" t="s">
        <v>25</v>
      </c>
      <c r="D13" s="21"/>
      <c r="E13" s="21" t="s">
        <v>7</v>
      </c>
      <c r="F13" s="21">
        <v>0.5</v>
      </c>
      <c r="G13" s="21">
        <v>0.5</v>
      </c>
      <c r="H13" s="21" t="str">
        <f>A6</f>
        <v>INIT</v>
      </c>
      <c r="I13" s="21"/>
      <c r="J13" s="21"/>
      <c r="K13" s="21"/>
      <c r="L13" s="21"/>
      <c r="M13" s="21" t="s">
        <v>52</v>
      </c>
      <c r="N13" s="21" t="s">
        <v>59</v>
      </c>
      <c r="O13" s="21" t="s">
        <v>0</v>
      </c>
      <c r="P13" s="21" t="s">
        <v>0</v>
      </c>
      <c r="Q13" s="21" t="s">
        <v>2</v>
      </c>
    </row>
    <row r="14" spans="1:17" ht="31.5" x14ac:dyDescent="0.25">
      <c r="A14" s="21">
        <v>8</v>
      </c>
      <c r="B14" s="21" t="s">
        <v>11</v>
      </c>
      <c r="C14" s="21" t="s">
        <v>366</v>
      </c>
      <c r="D14" s="21"/>
      <c r="E14" s="21" t="s">
        <v>8</v>
      </c>
      <c r="F14" s="21">
        <v>1.5</v>
      </c>
      <c r="G14" s="21">
        <v>1</v>
      </c>
      <c r="H14" s="21">
        <f>A13</f>
        <v>7</v>
      </c>
      <c r="I14" s="21"/>
      <c r="J14" s="21"/>
      <c r="K14" s="21"/>
      <c r="L14" s="21"/>
      <c r="M14" s="21" t="s">
        <v>52</v>
      </c>
      <c r="N14" s="21" t="s">
        <v>360</v>
      </c>
      <c r="O14" s="21" t="s">
        <v>0</v>
      </c>
      <c r="P14" s="21" t="s">
        <v>384</v>
      </c>
      <c r="Q14" s="21" t="s">
        <v>2</v>
      </c>
    </row>
    <row r="15" spans="1:17" ht="31.5" x14ac:dyDescent="0.25">
      <c r="A15" s="21">
        <v>9</v>
      </c>
      <c r="B15" s="21" t="s">
        <v>11</v>
      </c>
      <c r="C15" s="21" t="s">
        <v>26</v>
      </c>
      <c r="D15" s="21"/>
      <c r="E15" s="21" t="s">
        <v>7</v>
      </c>
      <c r="F15" s="21">
        <f>IF($E15="Yes",1,"")</f>
        <v>1</v>
      </c>
      <c r="G15" s="21">
        <v>1</v>
      </c>
      <c r="H15" s="21">
        <f>A13</f>
        <v>7</v>
      </c>
      <c r="I15" s="21">
        <f>A11</f>
        <v>5</v>
      </c>
      <c r="J15" s="21"/>
      <c r="K15" s="21"/>
      <c r="L15" s="21"/>
      <c r="M15" s="21" t="s">
        <v>51</v>
      </c>
      <c r="N15" s="21" t="s">
        <v>59</v>
      </c>
      <c r="O15" s="21" t="s">
        <v>356</v>
      </c>
      <c r="P15" s="21" t="s">
        <v>356</v>
      </c>
      <c r="Q15" s="21" t="s">
        <v>2</v>
      </c>
    </row>
    <row r="16" spans="1:17" ht="31.5" x14ac:dyDescent="0.25">
      <c r="A16" s="21">
        <v>10</v>
      </c>
      <c r="B16" s="21" t="s">
        <v>11</v>
      </c>
      <c r="C16" s="21" t="s">
        <v>27</v>
      </c>
      <c r="D16" s="21"/>
      <c r="E16" s="21" t="s">
        <v>7</v>
      </c>
      <c r="F16" s="21">
        <v>1</v>
      </c>
      <c r="G16" s="21">
        <v>1</v>
      </c>
      <c r="H16" s="21">
        <f>A15</f>
        <v>9</v>
      </c>
      <c r="I16" s="21"/>
      <c r="J16" s="21"/>
      <c r="K16" s="21"/>
      <c r="L16" s="21"/>
      <c r="M16" s="21" t="s">
        <v>52</v>
      </c>
      <c r="N16" s="21" t="s">
        <v>361</v>
      </c>
      <c r="O16" s="21" t="s">
        <v>356</v>
      </c>
      <c r="P16" s="21" t="s">
        <v>358</v>
      </c>
      <c r="Q16" s="21" t="s">
        <v>2</v>
      </c>
    </row>
    <row r="17" spans="1:17" ht="31.5" x14ac:dyDescent="0.25">
      <c r="A17" s="21">
        <v>11</v>
      </c>
      <c r="B17" s="21" t="s">
        <v>11</v>
      </c>
      <c r="C17" s="21" t="s">
        <v>29</v>
      </c>
      <c r="D17" s="21"/>
      <c r="E17" s="21" t="s">
        <v>7</v>
      </c>
      <c r="F17" s="21">
        <v>1</v>
      </c>
      <c r="G17" s="21">
        <v>1</v>
      </c>
      <c r="H17" s="21">
        <f>A16</f>
        <v>10</v>
      </c>
      <c r="I17" s="21"/>
      <c r="J17" s="21"/>
      <c r="K17" s="21"/>
      <c r="L17" s="21"/>
      <c r="M17" s="21" t="s">
        <v>52</v>
      </c>
      <c r="N17" s="21" t="s">
        <v>59</v>
      </c>
      <c r="O17" s="21" t="s">
        <v>356</v>
      </c>
      <c r="P17" s="21" t="s">
        <v>358</v>
      </c>
      <c r="Q17" s="21" t="s">
        <v>2</v>
      </c>
    </row>
    <row r="18" spans="1:17" ht="31.5" x14ac:dyDescent="0.25">
      <c r="A18" s="21">
        <v>12</v>
      </c>
      <c r="B18" s="21" t="s">
        <v>11</v>
      </c>
      <c r="C18" s="21" t="s">
        <v>28</v>
      </c>
      <c r="D18" s="21"/>
      <c r="E18" s="21" t="str">
        <f t="shared" ref="E18:E79" si="0">IF(D18="","Select ...")</f>
        <v>Select ...</v>
      </c>
      <c r="F18" s="21">
        <v>3</v>
      </c>
      <c r="G18" s="21">
        <v>2</v>
      </c>
      <c r="H18" s="21">
        <f>A17</f>
        <v>11</v>
      </c>
      <c r="I18" s="21"/>
      <c r="J18" s="21"/>
      <c r="K18" s="21"/>
      <c r="L18" s="21"/>
      <c r="M18" s="21" t="s">
        <v>51</v>
      </c>
      <c r="N18" s="21" t="s">
        <v>59</v>
      </c>
      <c r="O18" s="21" t="s">
        <v>356</v>
      </c>
      <c r="P18" s="21" t="s">
        <v>358</v>
      </c>
      <c r="Q18" s="21" t="s">
        <v>44</v>
      </c>
    </row>
    <row r="19" spans="1:17" ht="31.5" x14ac:dyDescent="0.25">
      <c r="A19" s="21">
        <v>13</v>
      </c>
      <c r="B19" s="21" t="s">
        <v>11</v>
      </c>
      <c r="C19" s="21" t="s">
        <v>30</v>
      </c>
      <c r="D19" s="21"/>
      <c r="E19" s="21" t="str">
        <f t="shared" si="0"/>
        <v>Select ...</v>
      </c>
      <c r="F19" s="21">
        <v>1</v>
      </c>
      <c r="G19" s="21">
        <v>0.5</v>
      </c>
      <c r="H19" s="21">
        <f>A17</f>
        <v>11</v>
      </c>
      <c r="I19" s="21"/>
      <c r="J19" s="21"/>
      <c r="K19" s="21"/>
      <c r="L19" s="21"/>
      <c r="M19" s="21" t="s">
        <v>52</v>
      </c>
      <c r="N19" s="21" t="s">
        <v>59</v>
      </c>
      <c r="O19" s="21" t="s">
        <v>356</v>
      </c>
      <c r="P19" s="21" t="s">
        <v>358</v>
      </c>
      <c r="Q19" s="21" t="s">
        <v>2</v>
      </c>
    </row>
    <row r="20" spans="1:17" ht="31.5" x14ac:dyDescent="0.25">
      <c r="A20" s="21">
        <v>14</v>
      </c>
      <c r="B20" s="21" t="s">
        <v>11</v>
      </c>
      <c r="C20" s="21" t="s">
        <v>377</v>
      </c>
      <c r="D20" s="21"/>
      <c r="E20" s="21" t="s">
        <v>7</v>
      </c>
      <c r="F20" s="21">
        <v>3</v>
      </c>
      <c r="G20" s="21">
        <v>3</v>
      </c>
      <c r="H20" s="21">
        <f>A17</f>
        <v>11</v>
      </c>
      <c r="I20" s="21">
        <f>A18</f>
        <v>12</v>
      </c>
      <c r="J20" s="21">
        <f>A19</f>
        <v>13</v>
      </c>
      <c r="K20" s="21"/>
      <c r="L20" s="21"/>
      <c r="M20" s="21" t="s">
        <v>51</v>
      </c>
      <c r="N20" s="21" t="s">
        <v>53</v>
      </c>
      <c r="O20" s="21" t="s">
        <v>356</v>
      </c>
      <c r="P20" s="21" t="s">
        <v>0</v>
      </c>
      <c r="Q20" s="21" t="s">
        <v>44</v>
      </c>
    </row>
    <row r="21" spans="1:17" ht="47.25" x14ac:dyDescent="0.25">
      <c r="A21" s="21">
        <v>15</v>
      </c>
      <c r="B21" s="21" t="s">
        <v>11</v>
      </c>
      <c r="C21" s="21" t="s">
        <v>31</v>
      </c>
      <c r="D21" s="21"/>
      <c r="E21" s="21" t="str">
        <f t="shared" si="0"/>
        <v>Select ...</v>
      </c>
      <c r="F21" s="21">
        <v>2</v>
      </c>
      <c r="G21" s="21">
        <v>1</v>
      </c>
      <c r="H21" s="21">
        <f>A20</f>
        <v>14</v>
      </c>
      <c r="I21" s="21"/>
      <c r="J21" s="21"/>
      <c r="K21" s="21"/>
      <c r="L21" s="21"/>
      <c r="M21" s="21" t="s">
        <v>52</v>
      </c>
      <c r="N21" s="21" t="s">
        <v>53</v>
      </c>
      <c r="O21" s="21" t="s">
        <v>356</v>
      </c>
      <c r="P21" s="21" t="s">
        <v>367</v>
      </c>
      <c r="Q21" s="21" t="s">
        <v>109</v>
      </c>
    </row>
    <row r="22" spans="1:17" ht="47.25" x14ac:dyDescent="0.25">
      <c r="A22" s="21">
        <v>16</v>
      </c>
      <c r="B22" s="21" t="s">
        <v>11</v>
      </c>
      <c r="C22" s="21" t="s">
        <v>32</v>
      </c>
      <c r="D22" s="21"/>
      <c r="E22" s="21" t="s">
        <v>7</v>
      </c>
      <c r="F22" s="21">
        <v>2</v>
      </c>
      <c r="G22" s="21">
        <v>1</v>
      </c>
      <c r="H22" s="21">
        <f>A20</f>
        <v>14</v>
      </c>
      <c r="I22" s="21"/>
      <c r="J22" s="21"/>
      <c r="K22" s="21"/>
      <c r="L22" s="21"/>
      <c r="M22" s="21" t="s">
        <v>52</v>
      </c>
      <c r="N22" s="21" t="s">
        <v>53</v>
      </c>
      <c r="O22" s="21" t="s">
        <v>356</v>
      </c>
      <c r="P22" s="21" t="s">
        <v>367</v>
      </c>
      <c r="Q22" s="21" t="s">
        <v>109</v>
      </c>
    </row>
    <row r="23" spans="1:17" ht="31.5" x14ac:dyDescent="0.25">
      <c r="A23" s="21">
        <v>17</v>
      </c>
      <c r="B23" s="21" t="s">
        <v>11</v>
      </c>
      <c r="C23" s="21" t="s">
        <v>368</v>
      </c>
      <c r="D23" s="21"/>
      <c r="E23" s="21" t="str">
        <f t="shared" si="0"/>
        <v>Select ...</v>
      </c>
      <c r="F23" s="21">
        <v>3</v>
      </c>
      <c r="G23" s="21">
        <v>3</v>
      </c>
      <c r="H23" s="21">
        <f>A21</f>
        <v>15</v>
      </c>
      <c r="I23" s="21">
        <f>A22</f>
        <v>16</v>
      </c>
      <c r="J23" s="21"/>
      <c r="K23" s="21"/>
      <c r="L23" s="21"/>
      <c r="M23" s="21" t="s">
        <v>52</v>
      </c>
      <c r="N23" s="21" t="s">
        <v>53</v>
      </c>
      <c r="O23" s="21" t="s">
        <v>367</v>
      </c>
      <c r="P23" s="21" t="s">
        <v>370</v>
      </c>
      <c r="Q23" s="21" t="s">
        <v>109</v>
      </c>
    </row>
    <row r="24" spans="1:17" ht="31.5" x14ac:dyDescent="0.25">
      <c r="A24" s="21">
        <v>18</v>
      </c>
      <c r="B24" s="21" t="s">
        <v>11</v>
      </c>
      <c r="C24" s="21" t="s">
        <v>369</v>
      </c>
      <c r="D24" s="21"/>
      <c r="E24" s="21" t="s">
        <v>7</v>
      </c>
      <c r="F24" s="21">
        <v>2</v>
      </c>
      <c r="G24" s="21">
        <v>1</v>
      </c>
      <c r="H24" s="21">
        <f>A21</f>
        <v>15</v>
      </c>
      <c r="I24" s="21">
        <f>A22</f>
        <v>16</v>
      </c>
      <c r="J24" s="21"/>
      <c r="K24" s="21"/>
      <c r="L24" s="21"/>
      <c r="M24" s="21" t="s">
        <v>52</v>
      </c>
      <c r="N24" s="21" t="s">
        <v>53</v>
      </c>
      <c r="O24" s="21" t="s">
        <v>367</v>
      </c>
      <c r="P24" s="21" t="s">
        <v>370</v>
      </c>
      <c r="Q24" s="21" t="s">
        <v>109</v>
      </c>
    </row>
    <row r="25" spans="1:17" ht="31.5" x14ac:dyDescent="0.25">
      <c r="A25" s="21">
        <v>19</v>
      </c>
      <c r="B25" s="21" t="s">
        <v>11</v>
      </c>
      <c r="C25" s="21" t="s">
        <v>33</v>
      </c>
      <c r="D25" s="21"/>
      <c r="E25" s="21" t="str">
        <f t="shared" si="0"/>
        <v>Select ...</v>
      </c>
      <c r="F25" s="21">
        <v>4</v>
      </c>
      <c r="G25" s="21">
        <v>3</v>
      </c>
      <c r="H25" s="21">
        <f>A22</f>
        <v>16</v>
      </c>
      <c r="I25" s="21"/>
      <c r="J25" s="21"/>
      <c r="K25" s="21"/>
      <c r="L25" s="21"/>
      <c r="M25" s="21" t="s">
        <v>52</v>
      </c>
      <c r="N25" s="21" t="s">
        <v>53</v>
      </c>
      <c r="O25" s="21" t="s">
        <v>356</v>
      </c>
      <c r="P25" s="21" t="s">
        <v>367</v>
      </c>
      <c r="Q25" s="21" t="s">
        <v>109</v>
      </c>
    </row>
    <row r="26" spans="1:17" ht="31.5" x14ac:dyDescent="0.25">
      <c r="A26" s="21">
        <v>20</v>
      </c>
      <c r="B26" s="21" t="s">
        <v>11</v>
      </c>
      <c r="C26" s="21" t="s">
        <v>34</v>
      </c>
      <c r="D26" s="21"/>
      <c r="E26" s="21" t="str">
        <f t="shared" si="0"/>
        <v>Select ...</v>
      </c>
      <c r="F26" s="21">
        <v>1</v>
      </c>
      <c r="G26" s="21">
        <v>1</v>
      </c>
      <c r="H26" s="21">
        <f>A16</f>
        <v>10</v>
      </c>
      <c r="I26" s="21">
        <f>A25</f>
        <v>19</v>
      </c>
      <c r="J26" s="21"/>
      <c r="K26" s="21"/>
      <c r="L26" s="21"/>
      <c r="M26" s="21" t="s">
        <v>52</v>
      </c>
      <c r="N26" s="21" t="s">
        <v>59</v>
      </c>
      <c r="O26" s="21" t="s">
        <v>367</v>
      </c>
      <c r="P26" s="21" t="s">
        <v>356</v>
      </c>
      <c r="Q26" s="21" t="s">
        <v>2</v>
      </c>
    </row>
    <row r="27" spans="1:17" ht="47.25" x14ac:dyDescent="0.25">
      <c r="A27" s="21">
        <v>21</v>
      </c>
      <c r="B27" s="21" t="s">
        <v>11</v>
      </c>
      <c r="C27" s="21" t="s">
        <v>35</v>
      </c>
      <c r="D27" s="21"/>
      <c r="E27" s="21" t="s">
        <v>7</v>
      </c>
      <c r="F27" s="21">
        <v>1</v>
      </c>
      <c r="G27" s="21">
        <v>0.5</v>
      </c>
      <c r="H27" s="21">
        <f>A16</f>
        <v>10</v>
      </c>
      <c r="I27" s="21">
        <f>A25</f>
        <v>19</v>
      </c>
      <c r="J27" s="21"/>
      <c r="K27" s="21"/>
      <c r="L27" s="21"/>
      <c r="M27" s="21" t="s">
        <v>52</v>
      </c>
      <c r="N27" s="21" t="s">
        <v>59</v>
      </c>
      <c r="O27" s="21" t="s">
        <v>367</v>
      </c>
      <c r="P27" s="21" t="s">
        <v>356</v>
      </c>
      <c r="Q27" s="21" t="s">
        <v>2</v>
      </c>
    </row>
    <row r="28" spans="1:17" ht="31.5" x14ac:dyDescent="0.25">
      <c r="A28" s="21">
        <v>22</v>
      </c>
      <c r="B28" s="21" t="s">
        <v>217</v>
      </c>
      <c r="C28" s="21" t="s">
        <v>218</v>
      </c>
      <c r="D28" s="21"/>
      <c r="E28" s="21" t="str">
        <f t="shared" si="0"/>
        <v>Select ...</v>
      </c>
      <c r="F28" s="21">
        <v>2</v>
      </c>
      <c r="G28" s="21">
        <v>1</v>
      </c>
      <c r="H28" s="21">
        <f>A11</f>
        <v>5</v>
      </c>
      <c r="I28" s="21"/>
      <c r="J28" s="21"/>
      <c r="K28" s="21"/>
      <c r="L28" s="21"/>
      <c r="M28" s="21" t="s">
        <v>52</v>
      </c>
      <c r="N28" s="21" t="s">
        <v>383</v>
      </c>
      <c r="O28" s="21" t="s">
        <v>358</v>
      </c>
      <c r="P28" s="21" t="s">
        <v>373</v>
      </c>
      <c r="Q28" s="21" t="s">
        <v>44</v>
      </c>
    </row>
    <row r="29" spans="1:17" ht="31.5" x14ac:dyDescent="0.25">
      <c r="A29" s="21">
        <v>23</v>
      </c>
      <c r="B29" s="21" t="s">
        <v>217</v>
      </c>
      <c r="C29" s="21" t="s">
        <v>297</v>
      </c>
      <c r="D29" s="21"/>
      <c r="E29" s="21" t="str">
        <f t="shared" si="0"/>
        <v>Select ...</v>
      </c>
      <c r="F29" s="21">
        <v>2</v>
      </c>
      <c r="G29" s="21">
        <v>2</v>
      </c>
      <c r="H29" s="21">
        <f>A28</f>
        <v>22</v>
      </c>
      <c r="I29" s="21"/>
      <c r="J29" s="21"/>
      <c r="K29" s="21"/>
      <c r="L29" s="21"/>
      <c r="M29" s="21" t="s">
        <v>52</v>
      </c>
      <c r="N29" s="21" t="s">
        <v>383</v>
      </c>
      <c r="O29" s="21" t="s">
        <v>373</v>
      </c>
      <c r="P29" s="21" t="s">
        <v>372</v>
      </c>
      <c r="Q29" s="21" t="s">
        <v>44</v>
      </c>
    </row>
    <row r="30" spans="1:17" ht="31.5" x14ac:dyDescent="0.25">
      <c r="A30" s="21">
        <v>24</v>
      </c>
      <c r="B30" s="21" t="s">
        <v>217</v>
      </c>
      <c r="C30" s="21" t="s">
        <v>431</v>
      </c>
      <c r="D30" s="21"/>
      <c r="E30" s="21" t="str">
        <f t="shared" si="0"/>
        <v>Select ...</v>
      </c>
      <c r="F30" s="21">
        <v>1</v>
      </c>
      <c r="G30" s="21">
        <v>0.5</v>
      </c>
      <c r="H30" s="21">
        <f>A28</f>
        <v>22</v>
      </c>
      <c r="I30" s="21">
        <f>A29</f>
        <v>23</v>
      </c>
      <c r="J30" s="21"/>
      <c r="K30" s="21"/>
      <c r="L30" s="21"/>
      <c r="M30" s="21" t="s">
        <v>51</v>
      </c>
      <c r="N30" s="21" t="s">
        <v>53</v>
      </c>
      <c r="O30" s="21" t="s">
        <v>372</v>
      </c>
      <c r="P30" s="21" t="s">
        <v>372</v>
      </c>
      <c r="Q30" s="21" t="s">
        <v>44</v>
      </c>
    </row>
    <row r="31" spans="1:17" ht="31.5" x14ac:dyDescent="0.25">
      <c r="A31" s="21">
        <v>25</v>
      </c>
      <c r="B31" s="21" t="s">
        <v>217</v>
      </c>
      <c r="C31" s="21" t="s">
        <v>219</v>
      </c>
      <c r="D31" s="21"/>
      <c r="E31" s="21" t="str">
        <f t="shared" si="0"/>
        <v>Select ...</v>
      </c>
      <c r="F31" s="21">
        <v>0.5</v>
      </c>
      <c r="G31" s="21">
        <v>0.5</v>
      </c>
      <c r="H31" s="21">
        <f>A30</f>
        <v>24</v>
      </c>
      <c r="I31" s="21"/>
      <c r="J31" s="21"/>
      <c r="K31" s="21"/>
      <c r="L31" s="21"/>
      <c r="M31" s="21" t="s">
        <v>1</v>
      </c>
      <c r="N31" s="21" t="s">
        <v>383</v>
      </c>
      <c r="O31" s="21" t="s">
        <v>372</v>
      </c>
      <c r="P31" s="21" t="s">
        <v>372</v>
      </c>
      <c r="Q31" s="21" t="s">
        <v>44</v>
      </c>
    </row>
    <row r="32" spans="1:17" ht="31.5" x14ac:dyDescent="0.25">
      <c r="A32" s="21">
        <v>26</v>
      </c>
      <c r="B32" s="21" t="s">
        <v>217</v>
      </c>
      <c r="C32" s="21" t="s">
        <v>220</v>
      </c>
      <c r="D32" s="21"/>
      <c r="E32" s="21" t="str">
        <f t="shared" si="0"/>
        <v>Select ...</v>
      </c>
      <c r="F32" s="21">
        <v>2</v>
      </c>
      <c r="G32" s="21">
        <v>1.5</v>
      </c>
      <c r="H32" s="21">
        <f>A30</f>
        <v>24</v>
      </c>
      <c r="I32" s="21"/>
      <c r="J32" s="21"/>
      <c r="K32" s="21"/>
      <c r="L32" s="21"/>
      <c r="M32" s="21" t="s">
        <v>52</v>
      </c>
      <c r="N32" s="21" t="s">
        <v>383</v>
      </c>
      <c r="O32" s="21" t="s">
        <v>372</v>
      </c>
      <c r="P32" s="21" t="s">
        <v>374</v>
      </c>
      <c r="Q32" s="21" t="s">
        <v>44</v>
      </c>
    </row>
    <row r="33" spans="1:17" ht="31.5" x14ac:dyDescent="0.25">
      <c r="A33" s="21">
        <v>27</v>
      </c>
      <c r="B33" s="21" t="s">
        <v>217</v>
      </c>
      <c r="C33" s="21" t="s">
        <v>432</v>
      </c>
      <c r="D33" s="21"/>
      <c r="E33" s="21" t="str">
        <f t="shared" si="0"/>
        <v>Select ...</v>
      </c>
      <c r="F33" s="21">
        <v>1</v>
      </c>
      <c r="G33" s="21">
        <v>0.5</v>
      </c>
      <c r="H33" s="21">
        <f>A32</f>
        <v>26</v>
      </c>
      <c r="I33" s="21"/>
      <c r="J33" s="21"/>
      <c r="K33" s="21"/>
      <c r="L33" s="21"/>
      <c r="M33" s="21" t="s">
        <v>52</v>
      </c>
      <c r="N33" s="21" t="s">
        <v>383</v>
      </c>
      <c r="O33" s="21" t="s">
        <v>374</v>
      </c>
      <c r="P33" s="21" t="s">
        <v>375</v>
      </c>
      <c r="Q33" s="21" t="s">
        <v>44</v>
      </c>
    </row>
    <row r="34" spans="1:17" ht="31.5" x14ac:dyDescent="0.25">
      <c r="A34" s="21">
        <v>28</v>
      </c>
      <c r="B34" s="21" t="s">
        <v>217</v>
      </c>
      <c r="C34" s="21" t="s">
        <v>221</v>
      </c>
      <c r="D34" s="21"/>
      <c r="E34" s="21" t="str">
        <f t="shared" si="0"/>
        <v>Select ...</v>
      </c>
      <c r="F34" s="21">
        <v>2</v>
      </c>
      <c r="G34" s="21">
        <v>1.5</v>
      </c>
      <c r="H34" s="21">
        <f>A33</f>
        <v>27</v>
      </c>
      <c r="I34" s="21"/>
      <c r="J34" s="21"/>
      <c r="K34" s="21"/>
      <c r="L34" s="21"/>
      <c r="M34" s="21" t="s">
        <v>52</v>
      </c>
      <c r="N34" s="21" t="s">
        <v>383</v>
      </c>
      <c r="O34" s="21" t="s">
        <v>376</v>
      </c>
      <c r="P34" s="21" t="s">
        <v>374</v>
      </c>
      <c r="Q34" s="21" t="s">
        <v>44</v>
      </c>
    </row>
    <row r="35" spans="1:17" ht="47.25" x14ac:dyDescent="0.25">
      <c r="A35" s="21">
        <v>29</v>
      </c>
      <c r="B35" s="21" t="s">
        <v>217</v>
      </c>
      <c r="C35" s="21" t="s">
        <v>298</v>
      </c>
      <c r="D35" s="21"/>
      <c r="E35" s="21" t="str">
        <f t="shared" si="0"/>
        <v>Select ...</v>
      </c>
      <c r="F35" s="21">
        <v>1.5</v>
      </c>
      <c r="G35" s="21">
        <v>0.5</v>
      </c>
      <c r="H35" s="21">
        <f>A33</f>
        <v>27</v>
      </c>
      <c r="I35" s="21"/>
      <c r="J35" s="21"/>
      <c r="K35" s="21"/>
      <c r="L35" s="21"/>
      <c r="M35" s="21" t="s">
        <v>52</v>
      </c>
      <c r="N35" s="21" t="s">
        <v>383</v>
      </c>
      <c r="O35" s="21" t="s">
        <v>376</v>
      </c>
      <c r="P35" s="21" t="s">
        <v>374</v>
      </c>
      <c r="Q35" s="21" t="s">
        <v>75</v>
      </c>
    </row>
    <row r="36" spans="1:17" ht="31.5" x14ac:dyDescent="0.25">
      <c r="A36" s="21">
        <v>30</v>
      </c>
      <c r="B36" s="21" t="s">
        <v>217</v>
      </c>
      <c r="C36" s="21" t="s">
        <v>437</v>
      </c>
      <c r="D36" s="21"/>
      <c r="E36" s="21" t="str">
        <f t="shared" si="0"/>
        <v>Select ...</v>
      </c>
      <c r="F36" s="21">
        <v>1</v>
      </c>
      <c r="G36" s="21">
        <v>0.5</v>
      </c>
      <c r="H36" s="21">
        <f>A30</f>
        <v>24</v>
      </c>
      <c r="I36" s="21">
        <f>A32</f>
        <v>26</v>
      </c>
      <c r="J36" s="21"/>
      <c r="K36" s="21"/>
      <c r="L36" s="21"/>
      <c r="M36" s="21" t="s">
        <v>51</v>
      </c>
      <c r="N36" s="21" t="s">
        <v>53</v>
      </c>
      <c r="O36" s="21" t="s">
        <v>375</v>
      </c>
      <c r="P36" s="21" t="s">
        <v>375</v>
      </c>
      <c r="Q36" s="21" t="s">
        <v>44</v>
      </c>
    </row>
    <row r="37" spans="1:17" ht="31.5" x14ac:dyDescent="0.25">
      <c r="A37" s="21">
        <v>31</v>
      </c>
      <c r="B37" s="21" t="s">
        <v>217</v>
      </c>
      <c r="C37" s="21" t="s">
        <v>222</v>
      </c>
      <c r="D37" s="21"/>
      <c r="E37" s="21" t="str">
        <f t="shared" si="0"/>
        <v>Select ...</v>
      </c>
      <c r="F37" s="21">
        <v>0.5</v>
      </c>
      <c r="G37" s="21">
        <v>0.5</v>
      </c>
      <c r="H37" s="21">
        <f>A36</f>
        <v>30</v>
      </c>
      <c r="I37" s="21"/>
      <c r="J37" s="21"/>
      <c r="K37" s="21"/>
      <c r="L37" s="21"/>
      <c r="M37" s="21" t="s">
        <v>1</v>
      </c>
      <c r="N37" s="21" t="s">
        <v>383</v>
      </c>
      <c r="O37" s="21" t="s">
        <v>375</v>
      </c>
      <c r="P37" s="21" t="s">
        <v>375</v>
      </c>
      <c r="Q37" s="21" t="s">
        <v>44</v>
      </c>
    </row>
    <row r="38" spans="1:17" x14ac:dyDescent="0.25">
      <c r="A38" s="21">
        <v>32</v>
      </c>
      <c r="B38" s="21" t="s">
        <v>217</v>
      </c>
      <c r="C38" s="21" t="s">
        <v>223</v>
      </c>
      <c r="D38" s="21"/>
      <c r="E38" s="21" t="str">
        <f t="shared" si="0"/>
        <v>Select ...</v>
      </c>
      <c r="F38" s="21">
        <v>0.5</v>
      </c>
      <c r="G38" s="21">
        <v>0.5</v>
      </c>
      <c r="H38" s="21" t="str">
        <f>A6</f>
        <v>INIT</v>
      </c>
      <c r="I38" s="21"/>
      <c r="J38" s="21"/>
      <c r="K38" s="21"/>
      <c r="L38" s="21"/>
      <c r="M38" s="21" t="s">
        <v>52</v>
      </c>
      <c r="N38" s="21" t="s">
        <v>59</v>
      </c>
      <c r="O38" s="21" t="s">
        <v>0</v>
      </c>
      <c r="P38" s="21" t="s">
        <v>0</v>
      </c>
      <c r="Q38" s="21" t="s">
        <v>2</v>
      </c>
    </row>
    <row r="39" spans="1:17" x14ac:dyDescent="0.25">
      <c r="A39" s="21">
        <v>33</v>
      </c>
      <c r="B39" s="21" t="s">
        <v>217</v>
      </c>
      <c r="C39" s="21" t="s">
        <v>224</v>
      </c>
      <c r="D39" s="21"/>
      <c r="E39" s="21" t="str">
        <f t="shared" si="0"/>
        <v>Select ...</v>
      </c>
      <c r="F39" s="21">
        <v>1</v>
      </c>
      <c r="G39" s="21">
        <v>1</v>
      </c>
      <c r="H39" s="21">
        <f>A38</f>
        <v>32</v>
      </c>
      <c r="I39" s="21"/>
      <c r="J39" s="21"/>
      <c r="K39" s="21"/>
      <c r="L39" s="21"/>
      <c r="M39" s="21" t="s">
        <v>52</v>
      </c>
      <c r="N39" s="21" t="s">
        <v>360</v>
      </c>
      <c r="O39" s="21" t="s">
        <v>0</v>
      </c>
      <c r="P39" s="21" t="s">
        <v>384</v>
      </c>
      <c r="Q39" s="21" t="s">
        <v>2</v>
      </c>
    </row>
    <row r="40" spans="1:17" x14ac:dyDescent="0.25">
      <c r="A40" s="21">
        <v>34</v>
      </c>
      <c r="B40" s="21" t="s">
        <v>217</v>
      </c>
      <c r="C40" s="21" t="s">
        <v>225</v>
      </c>
      <c r="D40" s="21"/>
      <c r="E40" s="21" t="str">
        <f t="shared" si="0"/>
        <v>Select ...</v>
      </c>
      <c r="F40" s="21">
        <v>1</v>
      </c>
      <c r="G40" s="21">
        <v>1</v>
      </c>
      <c r="H40" s="21">
        <f>A30</f>
        <v>24</v>
      </c>
      <c r="I40" s="21">
        <f>A36</f>
        <v>30</v>
      </c>
      <c r="J40" s="21">
        <f>A38</f>
        <v>32</v>
      </c>
      <c r="K40" s="21"/>
      <c r="L40" s="21"/>
      <c r="M40" s="21" t="s">
        <v>51</v>
      </c>
      <c r="N40" s="21" t="s">
        <v>59</v>
      </c>
      <c r="O40" s="21" t="s">
        <v>371</v>
      </c>
      <c r="P40" s="21" t="s">
        <v>371</v>
      </c>
      <c r="Q40" s="21" t="s">
        <v>2</v>
      </c>
    </row>
    <row r="41" spans="1:17" ht="31.5" x14ac:dyDescent="0.25">
      <c r="A41" s="21">
        <v>35</v>
      </c>
      <c r="B41" s="21" t="s">
        <v>217</v>
      </c>
      <c r="C41" s="21" t="s">
        <v>226</v>
      </c>
      <c r="D41" s="21"/>
      <c r="E41" s="21" t="str">
        <f t="shared" si="0"/>
        <v>Select ...</v>
      </c>
      <c r="F41" s="21">
        <v>1</v>
      </c>
      <c r="G41" s="21">
        <v>0.5</v>
      </c>
      <c r="H41" s="21">
        <f>A40</f>
        <v>34</v>
      </c>
      <c r="I41" s="21"/>
      <c r="J41" s="21"/>
      <c r="K41" s="21"/>
      <c r="L41" s="21"/>
      <c r="M41" s="21" t="s">
        <v>52</v>
      </c>
      <c r="N41" s="21" t="s">
        <v>361</v>
      </c>
      <c r="O41" s="21" t="s">
        <v>371</v>
      </c>
      <c r="P41" s="21" t="s">
        <v>378</v>
      </c>
      <c r="Q41" s="21" t="s">
        <v>2</v>
      </c>
    </row>
    <row r="42" spans="1:17" ht="31.5" x14ac:dyDescent="0.25">
      <c r="A42" s="21">
        <v>36</v>
      </c>
      <c r="B42" s="21" t="s">
        <v>217</v>
      </c>
      <c r="C42" s="21" t="s">
        <v>227</v>
      </c>
      <c r="D42" s="21"/>
      <c r="E42" s="21" t="str">
        <f t="shared" si="0"/>
        <v>Select ...</v>
      </c>
      <c r="F42" s="21">
        <v>1.5</v>
      </c>
      <c r="G42" s="21">
        <v>1</v>
      </c>
      <c r="H42" s="21">
        <f>A41</f>
        <v>35</v>
      </c>
      <c r="I42" s="21"/>
      <c r="J42" s="21"/>
      <c r="K42" s="21"/>
      <c r="L42" s="21"/>
      <c r="M42" s="21" t="s">
        <v>51</v>
      </c>
      <c r="N42" s="21" t="s">
        <v>59</v>
      </c>
      <c r="O42" s="21" t="s">
        <v>371</v>
      </c>
      <c r="P42" s="21" t="s">
        <v>378</v>
      </c>
      <c r="Q42" s="21" t="s">
        <v>2</v>
      </c>
    </row>
    <row r="43" spans="1:17" x14ac:dyDescent="0.25">
      <c r="A43" s="21">
        <v>37</v>
      </c>
      <c r="B43" s="21" t="s">
        <v>217</v>
      </c>
      <c r="C43" s="21" t="s">
        <v>228</v>
      </c>
      <c r="D43" s="21"/>
      <c r="E43" s="21" t="str">
        <f t="shared" si="0"/>
        <v>Select ...</v>
      </c>
      <c r="F43" s="21">
        <v>1</v>
      </c>
      <c r="G43" s="21">
        <v>0.5</v>
      </c>
      <c r="H43" s="21">
        <f>A41</f>
        <v>35</v>
      </c>
      <c r="I43" s="21"/>
      <c r="J43" s="21"/>
      <c r="K43" s="21"/>
      <c r="L43" s="21"/>
      <c r="M43" s="21" t="s">
        <v>52</v>
      </c>
      <c r="N43" s="21" t="s">
        <v>59</v>
      </c>
      <c r="O43" s="21" t="s">
        <v>371</v>
      </c>
      <c r="P43" s="21" t="s">
        <v>378</v>
      </c>
      <c r="Q43" s="21" t="s">
        <v>2</v>
      </c>
    </row>
    <row r="44" spans="1:17" ht="47.25" x14ac:dyDescent="0.25">
      <c r="A44" s="21">
        <v>38</v>
      </c>
      <c r="B44" s="21" t="s">
        <v>229</v>
      </c>
      <c r="C44" s="21" t="s">
        <v>230</v>
      </c>
      <c r="D44" s="21"/>
      <c r="E44" s="21" t="s">
        <v>7</v>
      </c>
      <c r="F44" s="21">
        <v>2</v>
      </c>
      <c r="G44" s="21">
        <v>2</v>
      </c>
      <c r="H44" s="21" t="str">
        <f>A6</f>
        <v>INIT</v>
      </c>
      <c r="I44" s="21"/>
      <c r="J44" s="21"/>
      <c r="K44" s="21"/>
      <c r="L44" s="21"/>
      <c r="M44" s="21" t="s">
        <v>51</v>
      </c>
      <c r="N44" s="21" t="s">
        <v>360</v>
      </c>
      <c r="O44" s="21" t="s">
        <v>356</v>
      </c>
      <c r="P44" s="21" t="s">
        <v>385</v>
      </c>
      <c r="Q44" s="21" t="s">
        <v>118</v>
      </c>
    </row>
    <row r="45" spans="1:17" ht="31.5" x14ac:dyDescent="0.25">
      <c r="A45" s="21">
        <v>39</v>
      </c>
      <c r="B45" s="21" t="s">
        <v>229</v>
      </c>
      <c r="C45" s="21" t="s">
        <v>231</v>
      </c>
      <c r="D45" s="21"/>
      <c r="E45" s="21" t="str">
        <f t="shared" si="0"/>
        <v>Select ...</v>
      </c>
      <c r="F45" s="21">
        <v>1</v>
      </c>
      <c r="G45" s="21">
        <v>1</v>
      </c>
      <c r="H45" s="21">
        <f>A44</f>
        <v>38</v>
      </c>
      <c r="I45" s="21"/>
      <c r="J45" s="21"/>
      <c r="K45" s="21"/>
      <c r="L45" s="21"/>
      <c r="M45" s="21" t="s">
        <v>52</v>
      </c>
      <c r="N45" s="21" t="s">
        <v>54</v>
      </c>
      <c r="O45" s="21" t="s">
        <v>356</v>
      </c>
      <c r="P45" s="21" t="s">
        <v>61</v>
      </c>
      <c r="Q45" s="21" t="s">
        <v>101</v>
      </c>
    </row>
    <row r="46" spans="1:17" ht="31.5" x14ac:dyDescent="0.25">
      <c r="A46" s="21">
        <v>40</v>
      </c>
      <c r="B46" s="21" t="s">
        <v>229</v>
      </c>
      <c r="C46" s="21" t="s">
        <v>232</v>
      </c>
      <c r="D46" s="21"/>
      <c r="E46" s="21" t="str">
        <f t="shared" si="0"/>
        <v>Select ...</v>
      </c>
      <c r="F46" s="21">
        <v>1</v>
      </c>
      <c r="G46" s="21">
        <v>1</v>
      </c>
      <c r="H46" s="21">
        <f>A44</f>
        <v>38</v>
      </c>
      <c r="I46" s="21"/>
      <c r="J46" s="21"/>
      <c r="K46" s="21"/>
      <c r="L46" s="21"/>
      <c r="M46" s="21" t="s">
        <v>52</v>
      </c>
      <c r="N46" s="21" t="s">
        <v>54</v>
      </c>
      <c r="O46" s="21" t="s">
        <v>356</v>
      </c>
      <c r="P46" s="21" t="s">
        <v>61</v>
      </c>
      <c r="Q46" s="21" t="s">
        <v>101</v>
      </c>
    </row>
    <row r="47" spans="1:17" ht="47.25" x14ac:dyDescent="0.25">
      <c r="A47" s="21">
        <v>41</v>
      </c>
      <c r="B47" s="21" t="s">
        <v>229</v>
      </c>
      <c r="C47" s="21" t="s">
        <v>379</v>
      </c>
      <c r="D47" s="21"/>
      <c r="E47" s="21" t="str">
        <f t="shared" si="0"/>
        <v>Select ...</v>
      </c>
      <c r="F47" s="21">
        <v>1</v>
      </c>
      <c r="G47" s="21">
        <v>1</v>
      </c>
      <c r="H47" s="21">
        <f>A44</f>
        <v>38</v>
      </c>
      <c r="I47" s="21"/>
      <c r="J47" s="21"/>
      <c r="K47" s="21"/>
      <c r="L47" s="21"/>
      <c r="M47" s="21" t="s">
        <v>52</v>
      </c>
      <c r="N47" s="21" t="s">
        <v>54</v>
      </c>
      <c r="O47" s="21" t="s">
        <v>356</v>
      </c>
      <c r="P47" s="21" t="s">
        <v>61</v>
      </c>
      <c r="Q47" s="21" t="s">
        <v>101</v>
      </c>
    </row>
    <row r="48" spans="1:17" ht="31.5" x14ac:dyDescent="0.25">
      <c r="A48" s="21">
        <v>42</v>
      </c>
      <c r="B48" s="21" t="s">
        <v>229</v>
      </c>
      <c r="C48" s="21" t="s">
        <v>299</v>
      </c>
      <c r="D48" s="21"/>
      <c r="E48" s="21" t="s">
        <v>7</v>
      </c>
      <c r="F48" s="21">
        <v>1</v>
      </c>
      <c r="G48" s="21">
        <v>1</v>
      </c>
      <c r="H48" s="21">
        <f>A44</f>
        <v>38</v>
      </c>
      <c r="I48" s="21">
        <f>A45</f>
        <v>39</v>
      </c>
      <c r="J48" s="21">
        <f>A46</f>
        <v>40</v>
      </c>
      <c r="K48" s="21">
        <f>A47</f>
        <v>41</v>
      </c>
      <c r="L48" s="21"/>
      <c r="M48" s="21" t="s">
        <v>52</v>
      </c>
      <c r="N48" s="21" t="s">
        <v>55</v>
      </c>
      <c r="O48" s="21" t="s">
        <v>356</v>
      </c>
      <c r="P48" s="21" t="s">
        <v>61</v>
      </c>
      <c r="Q48" s="21" t="s">
        <v>101</v>
      </c>
    </row>
    <row r="49" spans="1:17" ht="31.5" x14ac:dyDescent="0.25">
      <c r="A49" s="21">
        <v>43</v>
      </c>
      <c r="B49" s="21" t="s">
        <v>229</v>
      </c>
      <c r="C49" s="21" t="s">
        <v>300</v>
      </c>
      <c r="D49" s="21"/>
      <c r="E49" s="21" t="str">
        <f t="shared" si="0"/>
        <v>Select ...</v>
      </c>
      <c r="F49" s="21">
        <v>1</v>
      </c>
      <c r="G49" s="21">
        <v>1</v>
      </c>
      <c r="H49" s="21">
        <f>A44</f>
        <v>38</v>
      </c>
      <c r="I49" s="21"/>
      <c r="J49" s="21"/>
      <c r="K49" s="21"/>
      <c r="L49" s="21"/>
      <c r="M49" s="21" t="s">
        <v>52</v>
      </c>
      <c r="N49" s="21" t="s">
        <v>55</v>
      </c>
      <c r="O49" s="21" t="s">
        <v>356</v>
      </c>
      <c r="P49" s="21" t="s">
        <v>61</v>
      </c>
      <c r="Q49" s="21" t="s">
        <v>101</v>
      </c>
    </row>
    <row r="50" spans="1:17" ht="31.5" x14ac:dyDescent="0.25">
      <c r="A50" s="21">
        <v>44</v>
      </c>
      <c r="B50" s="21" t="s">
        <v>229</v>
      </c>
      <c r="C50" s="21" t="s">
        <v>233</v>
      </c>
      <c r="D50" s="21"/>
      <c r="E50" s="21" t="s">
        <v>7</v>
      </c>
      <c r="F50" s="21">
        <v>0.5</v>
      </c>
      <c r="G50" s="21">
        <v>0.5</v>
      </c>
      <c r="H50" s="21">
        <f>A48</f>
        <v>42</v>
      </c>
      <c r="I50" s="21"/>
      <c r="J50" s="21"/>
      <c r="K50" s="21"/>
      <c r="L50" s="21"/>
      <c r="M50" s="21" t="s">
        <v>52</v>
      </c>
      <c r="N50" s="21" t="s">
        <v>55</v>
      </c>
      <c r="O50" s="21" t="s">
        <v>356</v>
      </c>
      <c r="P50" s="21" t="s">
        <v>61</v>
      </c>
      <c r="Q50" s="21" t="s">
        <v>101</v>
      </c>
    </row>
    <row r="51" spans="1:17" ht="31.5" x14ac:dyDescent="0.25">
      <c r="A51" s="21">
        <v>45</v>
      </c>
      <c r="B51" s="21" t="s">
        <v>229</v>
      </c>
      <c r="C51" s="21" t="s">
        <v>234</v>
      </c>
      <c r="D51" s="21"/>
      <c r="E51" s="21" t="s">
        <v>7</v>
      </c>
      <c r="F51" s="21">
        <v>0.5</v>
      </c>
      <c r="G51" s="21">
        <v>0.5</v>
      </c>
      <c r="H51" s="21">
        <f>A48</f>
        <v>42</v>
      </c>
      <c r="I51" s="21"/>
      <c r="J51" s="21"/>
      <c r="K51" s="21"/>
      <c r="L51" s="21"/>
      <c r="M51" s="21" t="s">
        <v>52</v>
      </c>
      <c r="N51" s="21" t="s">
        <v>55</v>
      </c>
      <c r="O51" s="21" t="s">
        <v>356</v>
      </c>
      <c r="P51" s="21" t="s">
        <v>61</v>
      </c>
      <c r="Q51" s="21" t="s">
        <v>101</v>
      </c>
    </row>
    <row r="52" spans="1:17" ht="31.5" x14ac:dyDescent="0.25">
      <c r="A52" s="21">
        <v>46</v>
      </c>
      <c r="B52" s="21" t="s">
        <v>229</v>
      </c>
      <c r="C52" s="21" t="s">
        <v>235</v>
      </c>
      <c r="D52" s="21"/>
      <c r="E52" s="21" t="str">
        <f t="shared" si="0"/>
        <v>Select ...</v>
      </c>
      <c r="F52" s="21">
        <v>0.5</v>
      </c>
      <c r="G52" s="21">
        <v>0.5</v>
      </c>
      <c r="H52" s="21">
        <f>A48</f>
        <v>42</v>
      </c>
      <c r="I52" s="21"/>
      <c r="J52" s="21"/>
      <c r="K52" s="21"/>
      <c r="L52" s="21"/>
      <c r="M52" s="21" t="s">
        <v>52</v>
      </c>
      <c r="N52" s="21" t="s">
        <v>55</v>
      </c>
      <c r="O52" s="21" t="s">
        <v>356</v>
      </c>
      <c r="P52" s="21" t="s">
        <v>61</v>
      </c>
      <c r="Q52" s="21" t="s">
        <v>101</v>
      </c>
    </row>
    <row r="53" spans="1:17" ht="31.5" x14ac:dyDescent="0.25">
      <c r="A53" s="21">
        <v>47</v>
      </c>
      <c r="B53" s="21" t="s">
        <v>229</v>
      </c>
      <c r="C53" s="21" t="s">
        <v>236</v>
      </c>
      <c r="D53" s="21"/>
      <c r="E53" s="21" t="str">
        <f t="shared" si="0"/>
        <v>Select ...</v>
      </c>
      <c r="F53" s="21">
        <v>0.5</v>
      </c>
      <c r="G53" s="21">
        <v>0.5</v>
      </c>
      <c r="H53" s="21">
        <f>A48</f>
        <v>42</v>
      </c>
      <c r="I53" s="21"/>
      <c r="J53" s="21"/>
      <c r="K53" s="21"/>
      <c r="L53" s="21"/>
      <c r="M53" s="21" t="s">
        <v>52</v>
      </c>
      <c r="N53" s="21" t="s">
        <v>55</v>
      </c>
      <c r="O53" s="21" t="s">
        <v>356</v>
      </c>
      <c r="P53" s="21" t="s">
        <v>61</v>
      </c>
      <c r="Q53" s="21" t="s">
        <v>101</v>
      </c>
    </row>
    <row r="54" spans="1:17" ht="31.5" x14ac:dyDescent="0.25">
      <c r="A54" s="21">
        <v>48</v>
      </c>
      <c r="B54" s="21" t="s">
        <v>229</v>
      </c>
      <c r="C54" s="21" t="s">
        <v>237</v>
      </c>
      <c r="D54" s="21"/>
      <c r="E54" s="21" t="str">
        <f t="shared" si="0"/>
        <v>Select ...</v>
      </c>
      <c r="F54" s="21">
        <v>0.5</v>
      </c>
      <c r="G54" s="21">
        <v>0.5</v>
      </c>
      <c r="H54" s="21">
        <f>A44</f>
        <v>38</v>
      </c>
      <c r="I54" s="21"/>
      <c r="J54" s="21"/>
      <c r="K54" s="21"/>
      <c r="L54" s="21"/>
      <c r="M54" s="21" t="s">
        <v>52</v>
      </c>
      <c r="N54" s="21" t="s">
        <v>55</v>
      </c>
      <c r="O54" s="21" t="s">
        <v>356</v>
      </c>
      <c r="P54" s="21" t="s">
        <v>61</v>
      </c>
      <c r="Q54" s="21" t="s">
        <v>101</v>
      </c>
    </row>
    <row r="55" spans="1:17" ht="47.25" x14ac:dyDescent="0.25">
      <c r="A55" s="21">
        <v>49</v>
      </c>
      <c r="B55" s="21" t="s">
        <v>229</v>
      </c>
      <c r="C55" s="21" t="s">
        <v>301</v>
      </c>
      <c r="D55" s="21"/>
      <c r="E55" s="21" t="str">
        <f t="shared" si="0"/>
        <v>Select ...</v>
      </c>
      <c r="F55" s="21">
        <v>1</v>
      </c>
      <c r="G55" s="21">
        <v>1</v>
      </c>
      <c r="H55" s="21">
        <f>A50</f>
        <v>44</v>
      </c>
      <c r="I55" s="21"/>
      <c r="J55" s="21"/>
      <c r="K55" s="21"/>
      <c r="L55" s="21"/>
      <c r="M55" s="21" t="s">
        <v>52</v>
      </c>
      <c r="N55" s="21" t="s">
        <v>55</v>
      </c>
      <c r="O55" s="21" t="s">
        <v>356</v>
      </c>
      <c r="P55" s="21" t="s">
        <v>61</v>
      </c>
      <c r="Q55" s="21" t="s">
        <v>101</v>
      </c>
    </row>
    <row r="56" spans="1:17" ht="31.5" x14ac:dyDescent="0.25">
      <c r="A56" s="21">
        <v>50</v>
      </c>
      <c r="B56" s="21" t="s">
        <v>229</v>
      </c>
      <c r="C56" s="21" t="s">
        <v>238</v>
      </c>
      <c r="D56" s="21"/>
      <c r="E56" s="21" t="str">
        <f t="shared" si="0"/>
        <v>Select ...</v>
      </c>
      <c r="F56" s="21">
        <v>0.5</v>
      </c>
      <c r="G56" s="21">
        <v>0.5</v>
      </c>
      <c r="H56" s="21">
        <f>A48</f>
        <v>42</v>
      </c>
      <c r="I56" s="21"/>
      <c r="J56" s="21"/>
      <c r="K56" s="21"/>
      <c r="L56" s="21"/>
      <c r="M56" s="21" t="s">
        <v>52</v>
      </c>
      <c r="N56" s="21" t="s">
        <v>54</v>
      </c>
      <c r="O56" s="21" t="s">
        <v>356</v>
      </c>
      <c r="P56" s="21" t="s">
        <v>61</v>
      </c>
      <c r="Q56" s="21" t="s">
        <v>101</v>
      </c>
    </row>
    <row r="57" spans="1:17" ht="31.5" x14ac:dyDescent="0.25">
      <c r="A57" s="21">
        <v>51</v>
      </c>
      <c r="B57" s="21" t="s">
        <v>229</v>
      </c>
      <c r="C57" s="21" t="s">
        <v>239</v>
      </c>
      <c r="D57" s="21"/>
      <c r="E57" s="21" t="str">
        <f t="shared" si="0"/>
        <v>Select ...</v>
      </c>
      <c r="F57" s="21">
        <v>0.5</v>
      </c>
      <c r="G57" s="21">
        <v>0.5</v>
      </c>
      <c r="H57" s="21">
        <f>A49</f>
        <v>43</v>
      </c>
      <c r="I57" s="21"/>
      <c r="J57" s="21"/>
      <c r="K57" s="21"/>
      <c r="L57" s="21"/>
      <c r="M57" s="21" t="s">
        <v>52</v>
      </c>
      <c r="N57" s="21" t="s">
        <v>54</v>
      </c>
      <c r="O57" s="21" t="s">
        <v>356</v>
      </c>
      <c r="P57" s="21" t="s">
        <v>61</v>
      </c>
      <c r="Q57" s="21" t="s">
        <v>101</v>
      </c>
    </row>
    <row r="58" spans="1:17" ht="31.5" x14ac:dyDescent="0.25">
      <c r="A58" s="21">
        <v>52</v>
      </c>
      <c r="B58" s="21" t="s">
        <v>229</v>
      </c>
      <c r="C58" s="21" t="s">
        <v>240</v>
      </c>
      <c r="D58" s="21"/>
      <c r="E58" s="21" t="s">
        <v>7</v>
      </c>
      <c r="F58" s="21">
        <v>1</v>
      </c>
      <c r="G58" s="21">
        <v>1</v>
      </c>
      <c r="H58" s="21">
        <f>A44</f>
        <v>38</v>
      </c>
      <c r="I58" s="21"/>
      <c r="J58" s="21"/>
      <c r="K58" s="21"/>
      <c r="L58" s="21"/>
      <c r="M58" s="21" t="s">
        <v>51</v>
      </c>
      <c r="N58" s="21" t="s">
        <v>55</v>
      </c>
      <c r="O58" s="21" t="s">
        <v>385</v>
      </c>
      <c r="P58" s="21" t="s">
        <v>61</v>
      </c>
      <c r="Q58" s="21" t="s">
        <v>101</v>
      </c>
    </row>
    <row r="59" spans="1:17" ht="31.5" x14ac:dyDescent="0.25">
      <c r="A59" s="21">
        <v>53</v>
      </c>
      <c r="B59" s="21" t="s">
        <v>229</v>
      </c>
      <c r="C59" s="21" t="s">
        <v>241</v>
      </c>
      <c r="D59" s="21"/>
      <c r="E59" s="21" t="str">
        <f t="shared" si="0"/>
        <v>Select ...</v>
      </c>
      <c r="F59" s="21">
        <v>0.5</v>
      </c>
      <c r="G59" s="21">
        <v>0.5</v>
      </c>
      <c r="H59" s="21">
        <f>A44</f>
        <v>38</v>
      </c>
      <c r="I59" s="21"/>
      <c r="J59" s="21"/>
      <c r="K59" s="21"/>
      <c r="L59" s="21"/>
      <c r="M59" s="21" t="s">
        <v>52</v>
      </c>
      <c r="N59" s="21" t="s">
        <v>383</v>
      </c>
      <c r="O59" s="21" t="s">
        <v>385</v>
      </c>
      <c r="P59" s="21" t="s">
        <v>386</v>
      </c>
      <c r="Q59" s="21" t="s">
        <v>86</v>
      </c>
    </row>
    <row r="60" spans="1:17" ht="31.5" x14ac:dyDescent="0.25">
      <c r="A60" s="21">
        <v>54</v>
      </c>
      <c r="B60" s="21" t="s">
        <v>229</v>
      </c>
      <c r="C60" s="21" t="s">
        <v>242</v>
      </c>
      <c r="D60" s="21"/>
      <c r="E60" s="21" t="s">
        <v>7</v>
      </c>
      <c r="F60" s="21">
        <v>0.5</v>
      </c>
      <c r="G60" s="21">
        <v>0.5</v>
      </c>
      <c r="H60" s="21">
        <f>A44</f>
        <v>38</v>
      </c>
      <c r="I60" s="21"/>
      <c r="J60" s="21"/>
      <c r="K60" s="21"/>
      <c r="L60" s="21"/>
      <c r="M60" s="21" t="s">
        <v>52</v>
      </c>
      <c r="N60" s="21" t="s">
        <v>383</v>
      </c>
      <c r="O60" s="21" t="s">
        <v>385</v>
      </c>
      <c r="P60" s="21" t="s">
        <v>386</v>
      </c>
      <c r="Q60" s="21" t="s">
        <v>118</v>
      </c>
    </row>
    <row r="61" spans="1:17" ht="31.5" x14ac:dyDescent="0.25">
      <c r="A61" s="21">
        <v>55</v>
      </c>
      <c r="B61" s="21" t="s">
        <v>229</v>
      </c>
      <c r="C61" s="21" t="s">
        <v>243</v>
      </c>
      <c r="D61" s="21"/>
      <c r="E61" s="21" t="s">
        <v>7</v>
      </c>
      <c r="F61" s="21">
        <v>0.5</v>
      </c>
      <c r="G61" s="21">
        <v>0</v>
      </c>
      <c r="H61" s="21">
        <f>A44</f>
        <v>38</v>
      </c>
      <c r="I61" s="21">
        <f>A59</f>
        <v>53</v>
      </c>
      <c r="J61" s="21">
        <f>A60</f>
        <v>54</v>
      </c>
      <c r="K61" s="21"/>
      <c r="L61" s="21"/>
      <c r="M61" s="21" t="s">
        <v>51</v>
      </c>
      <c r="N61" s="21" t="s">
        <v>360</v>
      </c>
      <c r="O61" s="21" t="s">
        <v>386</v>
      </c>
      <c r="P61" s="21" t="s">
        <v>61</v>
      </c>
      <c r="Q61" s="21" t="s">
        <v>118</v>
      </c>
    </row>
    <row r="62" spans="1:17" ht="31.5" x14ac:dyDescent="0.25">
      <c r="A62" s="21">
        <v>56</v>
      </c>
      <c r="B62" s="21" t="s">
        <v>229</v>
      </c>
      <c r="C62" s="21" t="s">
        <v>244</v>
      </c>
      <c r="D62" s="21"/>
      <c r="E62" s="21" t="str">
        <f t="shared" si="0"/>
        <v>Select ...</v>
      </c>
      <c r="F62" s="21">
        <v>0.5</v>
      </c>
      <c r="G62" s="21">
        <v>0.5</v>
      </c>
      <c r="H62" s="21">
        <f>A59</f>
        <v>53</v>
      </c>
      <c r="I62" s="21">
        <f>A60</f>
        <v>54</v>
      </c>
      <c r="J62" s="21">
        <f>A61</f>
        <v>55</v>
      </c>
      <c r="K62" s="21"/>
      <c r="L62" s="21"/>
      <c r="M62" s="21" t="s">
        <v>51</v>
      </c>
      <c r="N62" s="21" t="s">
        <v>54</v>
      </c>
      <c r="O62" s="21" t="s">
        <v>386</v>
      </c>
      <c r="P62" s="21" t="s">
        <v>386</v>
      </c>
      <c r="Q62" s="21" t="s">
        <v>128</v>
      </c>
    </row>
    <row r="63" spans="1:17" ht="31.5" x14ac:dyDescent="0.25">
      <c r="A63" s="21">
        <v>57</v>
      </c>
      <c r="B63" s="21" t="s">
        <v>229</v>
      </c>
      <c r="C63" s="21" t="s">
        <v>245</v>
      </c>
      <c r="D63" s="21"/>
      <c r="E63" s="21" t="s">
        <v>7</v>
      </c>
      <c r="F63" s="21">
        <v>0.5</v>
      </c>
      <c r="G63" s="21">
        <v>0.25</v>
      </c>
      <c r="H63" s="21">
        <f>A61</f>
        <v>55</v>
      </c>
      <c r="I63" s="21">
        <f>A62</f>
        <v>56</v>
      </c>
      <c r="J63" s="21"/>
      <c r="K63" s="21"/>
      <c r="L63" s="21"/>
      <c r="M63" s="21" t="s">
        <v>52</v>
      </c>
      <c r="N63" s="21" t="s">
        <v>54</v>
      </c>
      <c r="O63" s="21" t="s">
        <v>386</v>
      </c>
      <c r="P63" s="21" t="s">
        <v>386</v>
      </c>
      <c r="Q63" s="21" t="s">
        <v>118</v>
      </c>
    </row>
    <row r="64" spans="1:17" ht="47.25" x14ac:dyDescent="0.25">
      <c r="A64" s="21">
        <v>58</v>
      </c>
      <c r="B64" s="21" t="s">
        <v>229</v>
      </c>
      <c r="C64" s="21" t="s">
        <v>246</v>
      </c>
      <c r="D64" s="21"/>
      <c r="E64" s="21" t="str">
        <f t="shared" si="0"/>
        <v>Select ...</v>
      </c>
      <c r="F64" s="21">
        <v>0.5</v>
      </c>
      <c r="G64" s="21">
        <v>0.25</v>
      </c>
      <c r="H64" s="21">
        <f>A62</f>
        <v>56</v>
      </c>
      <c r="I64" s="21"/>
      <c r="J64" s="21"/>
      <c r="K64" s="21"/>
      <c r="L64" s="21"/>
      <c r="M64" s="21" t="s">
        <v>52</v>
      </c>
      <c r="N64" s="21" t="s">
        <v>54</v>
      </c>
      <c r="O64" s="21" t="s">
        <v>386</v>
      </c>
      <c r="P64" s="21" t="s">
        <v>386</v>
      </c>
      <c r="Q64" s="21" t="s">
        <v>118</v>
      </c>
    </row>
    <row r="65" spans="1:17" ht="31.5" x14ac:dyDescent="0.25">
      <c r="A65" s="21">
        <v>59</v>
      </c>
      <c r="B65" s="21" t="s">
        <v>229</v>
      </c>
      <c r="C65" s="21" t="s">
        <v>247</v>
      </c>
      <c r="D65" s="21"/>
      <c r="E65" s="21" t="str">
        <f t="shared" si="0"/>
        <v>Select ...</v>
      </c>
      <c r="F65" s="21">
        <v>0.5</v>
      </c>
      <c r="G65" s="21">
        <v>0.25</v>
      </c>
      <c r="H65" s="21">
        <f>A62</f>
        <v>56</v>
      </c>
      <c r="I65" s="21"/>
      <c r="J65" s="21"/>
      <c r="K65" s="21"/>
      <c r="L65" s="21"/>
      <c r="M65" s="21" t="s">
        <v>52</v>
      </c>
      <c r="N65" s="21" t="s">
        <v>54</v>
      </c>
      <c r="O65" s="21" t="s">
        <v>386</v>
      </c>
      <c r="P65" s="21" t="s">
        <v>386</v>
      </c>
      <c r="Q65" s="21" t="s">
        <v>118</v>
      </c>
    </row>
    <row r="66" spans="1:17" ht="31.5" x14ac:dyDescent="0.25">
      <c r="A66" s="21">
        <v>60</v>
      </c>
      <c r="B66" s="21" t="s">
        <v>229</v>
      </c>
      <c r="C66" s="21" t="s">
        <v>248</v>
      </c>
      <c r="D66" s="21"/>
      <c r="E66" s="21" t="str">
        <f t="shared" si="0"/>
        <v>Select ...</v>
      </c>
      <c r="F66" s="21">
        <v>2</v>
      </c>
      <c r="G66" s="21">
        <v>2</v>
      </c>
      <c r="H66" s="21">
        <f>A63</f>
        <v>57</v>
      </c>
      <c r="I66" s="21"/>
      <c r="J66" s="21"/>
      <c r="K66" s="21"/>
      <c r="L66" s="21"/>
      <c r="M66" s="21" t="s">
        <v>52</v>
      </c>
      <c r="N66" s="21" t="s">
        <v>54</v>
      </c>
      <c r="O66" s="21" t="s">
        <v>61</v>
      </c>
      <c r="P66" s="21" t="s">
        <v>37</v>
      </c>
      <c r="Q66" s="21" t="s">
        <v>101</v>
      </c>
    </row>
    <row r="67" spans="1:17" ht="31.5" x14ac:dyDescent="0.25">
      <c r="A67" s="21">
        <v>61</v>
      </c>
      <c r="B67" s="21" t="s">
        <v>229</v>
      </c>
      <c r="C67" s="21" t="s">
        <v>302</v>
      </c>
      <c r="D67" s="21"/>
      <c r="E67" s="21" t="s">
        <v>7</v>
      </c>
      <c r="F67" s="21">
        <v>0.5</v>
      </c>
      <c r="G67" s="21">
        <v>0.5</v>
      </c>
      <c r="H67" s="21">
        <f>A63</f>
        <v>57</v>
      </c>
      <c r="I67" s="21"/>
      <c r="J67" s="21"/>
      <c r="K67" s="21"/>
      <c r="L67" s="21"/>
      <c r="M67" s="21" t="s">
        <v>52</v>
      </c>
      <c r="N67" s="21" t="s">
        <v>54</v>
      </c>
      <c r="O67" s="21" t="s">
        <v>61</v>
      </c>
      <c r="P67" s="21" t="s">
        <v>37</v>
      </c>
      <c r="Q67" s="21" t="s">
        <v>101</v>
      </c>
    </row>
    <row r="68" spans="1:17" ht="31.5" x14ac:dyDescent="0.25">
      <c r="A68" s="21">
        <v>62</v>
      </c>
      <c r="B68" s="21" t="s">
        <v>229</v>
      </c>
      <c r="C68" s="21" t="s">
        <v>303</v>
      </c>
      <c r="D68" s="21"/>
      <c r="E68" s="21" t="str">
        <f t="shared" si="0"/>
        <v>Select ...</v>
      </c>
      <c r="F68" s="21">
        <v>0.5</v>
      </c>
      <c r="G68" s="21">
        <v>0.25</v>
      </c>
      <c r="H68" s="21">
        <f>A63</f>
        <v>57</v>
      </c>
      <c r="I68" s="21"/>
      <c r="J68" s="21"/>
      <c r="K68" s="21"/>
      <c r="L68" s="21"/>
      <c r="M68" s="21" t="s">
        <v>52</v>
      </c>
      <c r="N68" s="21" t="s">
        <v>54</v>
      </c>
      <c r="O68" s="21" t="s">
        <v>61</v>
      </c>
      <c r="P68" s="21" t="s">
        <v>37</v>
      </c>
      <c r="Q68" s="21" t="s">
        <v>101</v>
      </c>
    </row>
    <row r="69" spans="1:17" ht="31.5" x14ac:dyDescent="0.25">
      <c r="A69" s="21">
        <v>63</v>
      </c>
      <c r="B69" s="21" t="s">
        <v>229</v>
      </c>
      <c r="C69" s="21" t="s">
        <v>304</v>
      </c>
      <c r="D69" s="21"/>
      <c r="E69" s="21" t="str">
        <f t="shared" si="0"/>
        <v>Select ...</v>
      </c>
      <c r="F69" s="21">
        <v>0.5</v>
      </c>
      <c r="G69" s="21">
        <v>0.25</v>
      </c>
      <c r="H69" s="21">
        <f>A63</f>
        <v>57</v>
      </c>
      <c r="I69" s="21"/>
      <c r="J69" s="21"/>
      <c r="K69" s="21"/>
      <c r="L69" s="21"/>
      <c r="M69" s="21" t="s">
        <v>52</v>
      </c>
      <c r="N69" s="21" t="s">
        <v>54</v>
      </c>
      <c r="O69" s="21" t="s">
        <v>61</v>
      </c>
      <c r="P69" s="21" t="s">
        <v>37</v>
      </c>
      <c r="Q69" s="21" t="s">
        <v>103</v>
      </c>
    </row>
    <row r="70" spans="1:17" ht="31.5" x14ac:dyDescent="0.25">
      <c r="A70" s="21">
        <v>64</v>
      </c>
      <c r="B70" s="21" t="s">
        <v>229</v>
      </c>
      <c r="C70" s="21" t="s">
        <v>305</v>
      </c>
      <c r="D70" s="21"/>
      <c r="E70" s="21" t="str">
        <f t="shared" si="0"/>
        <v>Select ...</v>
      </c>
      <c r="F70" s="21">
        <v>0.5</v>
      </c>
      <c r="G70" s="21">
        <v>0.25</v>
      </c>
      <c r="H70" s="21">
        <f>A63</f>
        <v>57</v>
      </c>
      <c r="I70" s="21"/>
      <c r="J70" s="21"/>
      <c r="K70" s="21"/>
      <c r="L70" s="21"/>
      <c r="M70" s="21" t="s">
        <v>52</v>
      </c>
      <c r="N70" s="21" t="s">
        <v>54</v>
      </c>
      <c r="O70" s="21" t="s">
        <v>61</v>
      </c>
      <c r="P70" s="21" t="s">
        <v>37</v>
      </c>
      <c r="Q70" s="21" t="s">
        <v>101</v>
      </c>
    </row>
    <row r="71" spans="1:17" ht="31.5" x14ac:dyDescent="0.25">
      <c r="A71" s="21">
        <v>65</v>
      </c>
      <c r="B71" s="21" t="s">
        <v>229</v>
      </c>
      <c r="C71" s="21" t="s">
        <v>249</v>
      </c>
      <c r="D71" s="21"/>
      <c r="E71" s="21" t="str">
        <f t="shared" si="0"/>
        <v>Select ...</v>
      </c>
      <c r="F71" s="21">
        <v>1</v>
      </c>
      <c r="G71" s="21">
        <v>1</v>
      </c>
      <c r="H71" s="21">
        <f>A63</f>
        <v>57</v>
      </c>
      <c r="I71" s="21"/>
      <c r="J71" s="21"/>
      <c r="K71" s="21"/>
      <c r="L71" s="21"/>
      <c r="M71" s="21" t="s">
        <v>52</v>
      </c>
      <c r="N71" s="21" t="s">
        <v>54</v>
      </c>
      <c r="O71" s="21" t="s">
        <v>61</v>
      </c>
      <c r="P71" s="21" t="s">
        <v>37</v>
      </c>
      <c r="Q71" s="21" t="s">
        <v>101</v>
      </c>
    </row>
    <row r="72" spans="1:17" ht="31.5" x14ac:dyDescent="0.25">
      <c r="A72" s="21">
        <v>66</v>
      </c>
      <c r="B72" s="21" t="s">
        <v>229</v>
      </c>
      <c r="C72" s="21" t="s">
        <v>306</v>
      </c>
      <c r="D72" s="21"/>
      <c r="E72" s="21" t="str">
        <f t="shared" si="0"/>
        <v>Select ...</v>
      </c>
      <c r="F72" s="21">
        <v>1</v>
      </c>
      <c r="G72" s="21">
        <v>0.5</v>
      </c>
      <c r="H72" s="21">
        <f>A63</f>
        <v>57</v>
      </c>
      <c r="I72" s="21"/>
      <c r="J72" s="21"/>
      <c r="K72" s="21"/>
      <c r="L72" s="21"/>
      <c r="M72" s="21" t="s">
        <v>52</v>
      </c>
      <c r="N72" s="21" t="s">
        <v>54</v>
      </c>
      <c r="O72" s="21" t="s">
        <v>61</v>
      </c>
      <c r="P72" s="21" t="s">
        <v>37</v>
      </c>
      <c r="Q72" s="21" t="s">
        <v>101</v>
      </c>
    </row>
    <row r="73" spans="1:17" ht="47.25" x14ac:dyDescent="0.25">
      <c r="A73" s="21">
        <v>67</v>
      </c>
      <c r="B73" s="21" t="s">
        <v>229</v>
      </c>
      <c r="C73" s="21" t="s">
        <v>382</v>
      </c>
      <c r="D73" s="21"/>
      <c r="E73" s="21" t="str">
        <f t="shared" si="0"/>
        <v>Select ...</v>
      </c>
      <c r="F73" s="21">
        <v>0.5</v>
      </c>
      <c r="G73" s="21">
        <v>0.25</v>
      </c>
      <c r="H73" s="21">
        <f>A63</f>
        <v>57</v>
      </c>
      <c r="I73" s="21"/>
      <c r="J73" s="21"/>
      <c r="K73" s="21"/>
      <c r="L73" s="21"/>
      <c r="M73" s="21" t="s">
        <v>52</v>
      </c>
      <c r="N73" s="21" t="s">
        <v>54</v>
      </c>
      <c r="O73" s="21" t="s">
        <v>61</v>
      </c>
      <c r="P73" s="21" t="s">
        <v>37</v>
      </c>
      <c r="Q73" s="21" t="s">
        <v>176</v>
      </c>
    </row>
    <row r="74" spans="1:17" ht="31.5" x14ac:dyDescent="0.25">
      <c r="A74" s="21">
        <v>68</v>
      </c>
      <c r="B74" s="21" t="s">
        <v>229</v>
      </c>
      <c r="C74" s="21" t="s">
        <v>308</v>
      </c>
      <c r="D74" s="21"/>
      <c r="E74" s="21" t="str">
        <f t="shared" si="0"/>
        <v>Select ...</v>
      </c>
      <c r="F74" s="21">
        <v>0.5</v>
      </c>
      <c r="G74" s="21">
        <v>0.25</v>
      </c>
      <c r="H74" s="21">
        <f>A63</f>
        <v>57</v>
      </c>
      <c r="I74" s="21"/>
      <c r="J74" s="21"/>
      <c r="K74" s="21"/>
      <c r="L74" s="21"/>
      <c r="M74" s="21" t="s">
        <v>52</v>
      </c>
      <c r="N74" s="21" t="s">
        <v>54</v>
      </c>
      <c r="O74" s="21" t="s">
        <v>61</v>
      </c>
      <c r="P74" s="21" t="s">
        <v>37</v>
      </c>
      <c r="Q74" s="21" t="s">
        <v>114</v>
      </c>
    </row>
    <row r="75" spans="1:17" ht="31.5" x14ac:dyDescent="0.25">
      <c r="A75" s="21">
        <v>69</v>
      </c>
      <c r="B75" s="21" t="s">
        <v>229</v>
      </c>
      <c r="C75" s="21" t="s">
        <v>307</v>
      </c>
      <c r="D75" s="21"/>
      <c r="E75" s="21" t="str">
        <f t="shared" si="0"/>
        <v>Select ...</v>
      </c>
      <c r="F75" s="21">
        <v>0.5</v>
      </c>
      <c r="G75" s="21">
        <v>0.25</v>
      </c>
      <c r="H75" s="21">
        <f>A63</f>
        <v>57</v>
      </c>
      <c r="I75" s="21"/>
      <c r="J75" s="21"/>
      <c r="K75" s="21"/>
      <c r="L75" s="21"/>
      <c r="M75" s="21" t="s">
        <v>52</v>
      </c>
      <c r="N75" s="21" t="s">
        <v>54</v>
      </c>
      <c r="O75" s="21" t="s">
        <v>61</v>
      </c>
      <c r="P75" s="21" t="s">
        <v>37</v>
      </c>
      <c r="Q75" s="21" t="s">
        <v>114</v>
      </c>
    </row>
    <row r="76" spans="1:17" ht="31.5" x14ac:dyDescent="0.25">
      <c r="A76" s="21">
        <v>70</v>
      </c>
      <c r="B76" s="21" t="s">
        <v>229</v>
      </c>
      <c r="C76" s="21" t="s">
        <v>433</v>
      </c>
      <c r="D76" s="21"/>
      <c r="E76" s="21" t="s">
        <v>7</v>
      </c>
      <c r="F76" s="21">
        <v>0.5</v>
      </c>
      <c r="G76" s="21">
        <v>0.5</v>
      </c>
      <c r="H76" s="21">
        <f>A66</f>
        <v>60</v>
      </c>
      <c r="I76" s="21">
        <f>A67</f>
        <v>61</v>
      </c>
      <c r="J76" s="21">
        <f>A74</f>
        <v>68</v>
      </c>
      <c r="K76" s="21"/>
      <c r="L76" s="21"/>
      <c r="M76" s="21" t="s">
        <v>51</v>
      </c>
      <c r="N76" s="21" t="s">
        <v>383</v>
      </c>
      <c r="O76" s="21" t="s">
        <v>37</v>
      </c>
      <c r="P76" s="21" t="s">
        <v>386</v>
      </c>
      <c r="Q76" s="21" t="s">
        <v>118</v>
      </c>
    </row>
    <row r="77" spans="1:17" ht="31.5" x14ac:dyDescent="0.25">
      <c r="A77" s="21">
        <v>71</v>
      </c>
      <c r="B77" s="21" t="s">
        <v>229</v>
      </c>
      <c r="C77" s="21" t="s">
        <v>250</v>
      </c>
      <c r="D77" s="21"/>
      <c r="E77" s="21" t="str">
        <f t="shared" si="0"/>
        <v>Select ...</v>
      </c>
      <c r="F77" s="21">
        <v>0.5</v>
      </c>
      <c r="G77" s="21">
        <v>0.5</v>
      </c>
      <c r="H77" s="21">
        <f>A76</f>
        <v>70</v>
      </c>
      <c r="I77" s="21"/>
      <c r="J77" s="21"/>
      <c r="K77" s="21"/>
      <c r="L77" s="21"/>
      <c r="M77" s="21" t="s">
        <v>52</v>
      </c>
      <c r="N77" s="21" t="s">
        <v>54</v>
      </c>
      <c r="O77" s="21" t="s">
        <v>386</v>
      </c>
      <c r="P77" s="21" t="s">
        <v>386</v>
      </c>
      <c r="Q77" s="21" t="s">
        <v>44</v>
      </c>
    </row>
    <row r="78" spans="1:17" ht="31.5" x14ac:dyDescent="0.25">
      <c r="A78" s="21">
        <v>72</v>
      </c>
      <c r="B78" s="21" t="s">
        <v>229</v>
      </c>
      <c r="C78" s="21" t="s">
        <v>251</v>
      </c>
      <c r="D78" s="21"/>
      <c r="E78" s="21" t="str">
        <f t="shared" si="0"/>
        <v>Select ...</v>
      </c>
      <c r="F78" s="21">
        <v>0.5</v>
      </c>
      <c r="G78" s="21">
        <v>0.5</v>
      </c>
      <c r="H78" s="21" t="str">
        <f>A6</f>
        <v>INIT</v>
      </c>
      <c r="I78" s="21"/>
      <c r="J78" s="21"/>
      <c r="K78" s="21"/>
      <c r="L78" s="21"/>
      <c r="M78" s="21" t="s">
        <v>52</v>
      </c>
      <c r="N78" s="21" t="s">
        <v>54</v>
      </c>
      <c r="O78" s="21" t="s">
        <v>0</v>
      </c>
      <c r="P78" s="21" t="s">
        <v>0</v>
      </c>
      <c r="Q78" s="21" t="s">
        <v>92</v>
      </c>
    </row>
    <row r="79" spans="1:17" ht="31.5" x14ac:dyDescent="0.25">
      <c r="A79" s="21">
        <v>73</v>
      </c>
      <c r="B79" s="21" t="s">
        <v>229</v>
      </c>
      <c r="C79" s="21" t="s">
        <v>252</v>
      </c>
      <c r="D79" s="21"/>
      <c r="E79" s="21" t="str">
        <f t="shared" si="0"/>
        <v>Select ...</v>
      </c>
      <c r="F79" s="21">
        <v>0.5</v>
      </c>
      <c r="G79" s="21">
        <v>0.5</v>
      </c>
      <c r="H79" s="21">
        <f>A78</f>
        <v>72</v>
      </c>
      <c r="I79" s="21"/>
      <c r="J79" s="21"/>
      <c r="K79" s="21"/>
      <c r="L79" s="21"/>
      <c r="M79" s="21" t="s">
        <v>52</v>
      </c>
      <c r="N79" s="21" t="s">
        <v>54</v>
      </c>
      <c r="O79" s="21" t="s">
        <v>61</v>
      </c>
      <c r="P79" s="21" t="s">
        <v>0</v>
      </c>
      <c r="Q79" s="21" t="s">
        <v>92</v>
      </c>
    </row>
    <row r="80" spans="1:17" ht="31.5" x14ac:dyDescent="0.25">
      <c r="A80" s="21">
        <v>74</v>
      </c>
      <c r="B80" s="21" t="s">
        <v>229</v>
      </c>
      <c r="C80" s="21" t="s">
        <v>253</v>
      </c>
      <c r="D80" s="21"/>
      <c r="E80" s="21" t="s">
        <v>7</v>
      </c>
      <c r="F80" s="21">
        <v>1</v>
      </c>
      <c r="G80" s="21">
        <v>0.75</v>
      </c>
      <c r="H80" s="21">
        <f>A44</f>
        <v>38</v>
      </c>
      <c r="I80" s="21">
        <f>A76</f>
        <v>70</v>
      </c>
      <c r="J80" s="21"/>
      <c r="K80" s="21"/>
      <c r="L80" s="21"/>
      <c r="M80" s="21" t="s">
        <v>51</v>
      </c>
      <c r="N80" s="21" t="s">
        <v>54</v>
      </c>
      <c r="O80" s="21" t="s">
        <v>385</v>
      </c>
      <c r="P80" s="21" t="s">
        <v>61</v>
      </c>
      <c r="Q80" s="21" t="s">
        <v>118</v>
      </c>
    </row>
    <row r="81" spans="1:17" ht="31.5" x14ac:dyDescent="0.25">
      <c r="A81" s="21">
        <v>75</v>
      </c>
      <c r="B81" s="21" t="s">
        <v>229</v>
      </c>
      <c r="C81" s="21" t="s">
        <v>254</v>
      </c>
      <c r="D81" s="21"/>
      <c r="E81" s="21" t="s">
        <v>7</v>
      </c>
      <c r="F81" s="21">
        <v>0.5</v>
      </c>
      <c r="G81" s="21">
        <v>0</v>
      </c>
      <c r="H81" s="21">
        <f>A76</f>
        <v>70</v>
      </c>
      <c r="I81" s="21"/>
      <c r="J81" s="21"/>
      <c r="K81" s="21"/>
      <c r="L81" s="21"/>
      <c r="M81" s="21" t="s">
        <v>52</v>
      </c>
      <c r="N81" s="21" t="s">
        <v>54</v>
      </c>
      <c r="O81" s="21" t="s">
        <v>37</v>
      </c>
      <c r="P81" s="21" t="s">
        <v>386</v>
      </c>
      <c r="Q81" s="21" t="s">
        <v>128</v>
      </c>
    </row>
    <row r="82" spans="1:17" ht="31.5" x14ac:dyDescent="0.25">
      <c r="A82" s="21">
        <v>76</v>
      </c>
      <c r="B82" s="21" t="s">
        <v>229</v>
      </c>
      <c r="C82" s="21" t="s">
        <v>309</v>
      </c>
      <c r="D82" s="21"/>
      <c r="E82" s="21" t="s">
        <v>7</v>
      </c>
      <c r="F82" s="21">
        <v>0.5</v>
      </c>
      <c r="G82" s="21">
        <v>0.25</v>
      </c>
      <c r="H82" s="21">
        <f>A76</f>
        <v>70</v>
      </c>
      <c r="I82" s="21">
        <f>A149</f>
        <v>143</v>
      </c>
      <c r="J82" s="21">
        <f>A160</f>
        <v>154</v>
      </c>
      <c r="K82" s="21"/>
      <c r="L82" s="21"/>
      <c r="M82" s="21" t="s">
        <v>52</v>
      </c>
      <c r="N82" s="21" t="s">
        <v>54</v>
      </c>
      <c r="O82" s="21" t="s">
        <v>386</v>
      </c>
      <c r="P82" s="21" t="s">
        <v>386</v>
      </c>
      <c r="Q82" s="21" t="s">
        <v>118</v>
      </c>
    </row>
    <row r="83" spans="1:17" ht="31.5" x14ac:dyDescent="0.25">
      <c r="A83" s="21">
        <v>77</v>
      </c>
      <c r="B83" s="21" t="s">
        <v>229</v>
      </c>
      <c r="C83" s="21" t="s">
        <v>310</v>
      </c>
      <c r="D83" s="21"/>
      <c r="E83" s="21" t="str">
        <f t="shared" ref="E83:E144" si="1">IF(D83="","Select ...")</f>
        <v>Select ...</v>
      </c>
      <c r="F83" s="21">
        <v>0.5</v>
      </c>
      <c r="G83" s="21">
        <v>0.25</v>
      </c>
      <c r="H83" s="21">
        <f>A76</f>
        <v>70</v>
      </c>
      <c r="I83" s="21">
        <f>A149</f>
        <v>143</v>
      </c>
      <c r="J83" s="21">
        <f>A160</f>
        <v>154</v>
      </c>
      <c r="K83" s="21"/>
      <c r="L83" s="21"/>
      <c r="M83" s="21" t="s">
        <v>52</v>
      </c>
      <c r="N83" s="21" t="s">
        <v>54</v>
      </c>
      <c r="O83" s="21" t="s">
        <v>386</v>
      </c>
      <c r="P83" s="21" t="s">
        <v>386</v>
      </c>
      <c r="Q83" s="21" t="s">
        <v>118</v>
      </c>
    </row>
    <row r="84" spans="1:17" ht="31.5" x14ac:dyDescent="0.25">
      <c r="A84" s="21">
        <v>78</v>
      </c>
      <c r="B84" s="21" t="s">
        <v>229</v>
      </c>
      <c r="C84" s="21" t="s">
        <v>255</v>
      </c>
      <c r="D84" s="21"/>
      <c r="E84" s="21" t="str">
        <f t="shared" si="1"/>
        <v>Select ...</v>
      </c>
      <c r="F84" s="21">
        <v>0.5</v>
      </c>
      <c r="G84" s="21">
        <v>0.5</v>
      </c>
      <c r="H84" s="21">
        <f>A82</f>
        <v>76</v>
      </c>
      <c r="I84" s="21">
        <f>A83</f>
        <v>77</v>
      </c>
      <c r="J84" s="21"/>
      <c r="K84" s="21"/>
      <c r="L84" s="21"/>
      <c r="M84" s="21" t="s">
        <v>52</v>
      </c>
      <c r="N84" s="21" t="s">
        <v>54</v>
      </c>
      <c r="O84" s="21" t="s">
        <v>61</v>
      </c>
      <c r="P84" s="21" t="s">
        <v>37</v>
      </c>
      <c r="Q84" s="21" t="s">
        <v>101</v>
      </c>
    </row>
    <row r="85" spans="1:17" ht="31.5" x14ac:dyDescent="0.25">
      <c r="A85" s="21">
        <v>79</v>
      </c>
      <c r="B85" s="21" t="s">
        <v>229</v>
      </c>
      <c r="C85" s="21" t="s">
        <v>311</v>
      </c>
      <c r="D85" s="21"/>
      <c r="E85" s="21" t="str">
        <f t="shared" si="1"/>
        <v>Select ...</v>
      </c>
      <c r="F85" s="21">
        <v>0.5</v>
      </c>
      <c r="G85" s="21">
        <v>0.25</v>
      </c>
      <c r="H85" s="21">
        <f>A82</f>
        <v>76</v>
      </c>
      <c r="I85" s="21">
        <f>A83</f>
        <v>77</v>
      </c>
      <c r="J85" s="21"/>
      <c r="K85" s="21"/>
      <c r="L85" s="21"/>
      <c r="M85" s="21" t="s">
        <v>52</v>
      </c>
      <c r="N85" s="21" t="s">
        <v>54</v>
      </c>
      <c r="O85" s="21" t="s">
        <v>61</v>
      </c>
      <c r="P85" s="21" t="s">
        <v>37</v>
      </c>
      <c r="Q85" s="21" t="s">
        <v>101</v>
      </c>
    </row>
    <row r="86" spans="1:17" ht="31.5" x14ac:dyDescent="0.25">
      <c r="A86" s="21">
        <v>80</v>
      </c>
      <c r="B86" s="21" t="s">
        <v>229</v>
      </c>
      <c r="C86" s="21" t="s">
        <v>312</v>
      </c>
      <c r="D86" s="21"/>
      <c r="E86" s="21" t="str">
        <f t="shared" si="1"/>
        <v>Select ...</v>
      </c>
      <c r="F86" s="21">
        <v>0.5</v>
      </c>
      <c r="G86" s="21">
        <v>0.25</v>
      </c>
      <c r="H86" s="21">
        <f>A82</f>
        <v>76</v>
      </c>
      <c r="I86" s="21">
        <f>A83</f>
        <v>77</v>
      </c>
      <c r="J86" s="21"/>
      <c r="K86" s="21"/>
      <c r="L86" s="21"/>
      <c r="M86" s="21" t="s">
        <v>52</v>
      </c>
      <c r="N86" s="21" t="s">
        <v>54</v>
      </c>
      <c r="O86" s="21" t="s">
        <v>61</v>
      </c>
      <c r="P86" s="21" t="s">
        <v>37</v>
      </c>
      <c r="Q86" s="21" t="s">
        <v>175</v>
      </c>
    </row>
    <row r="87" spans="1:17" ht="31.5" x14ac:dyDescent="0.25">
      <c r="A87" s="21">
        <v>81</v>
      </c>
      <c r="B87" s="21" t="s">
        <v>229</v>
      </c>
      <c r="C87" s="21" t="s">
        <v>393</v>
      </c>
      <c r="D87" s="21"/>
      <c r="E87" s="21" t="str">
        <f>IF(D87="","Select ...")</f>
        <v>Select ...</v>
      </c>
      <c r="F87" s="21">
        <v>1</v>
      </c>
      <c r="G87" s="21">
        <v>1</v>
      </c>
      <c r="H87" s="21">
        <f>A44</f>
        <v>38</v>
      </c>
      <c r="I87" s="21"/>
      <c r="J87" s="21"/>
      <c r="K87" s="21"/>
      <c r="L87" s="21"/>
      <c r="M87" s="21" t="s">
        <v>52</v>
      </c>
      <c r="N87" s="21" t="s">
        <v>360</v>
      </c>
      <c r="O87" s="21" t="s">
        <v>0</v>
      </c>
      <c r="P87" s="21" t="s">
        <v>0</v>
      </c>
      <c r="Q87" s="21" t="s">
        <v>2</v>
      </c>
    </row>
    <row r="88" spans="1:17" ht="31.5" x14ac:dyDescent="0.25">
      <c r="A88" s="21">
        <v>82</v>
      </c>
      <c r="B88" s="21" t="s">
        <v>256</v>
      </c>
      <c r="C88" s="21" t="s">
        <v>434</v>
      </c>
      <c r="D88" s="21"/>
      <c r="E88" s="21" t="s">
        <v>7</v>
      </c>
      <c r="F88" s="21">
        <v>0.5</v>
      </c>
      <c r="G88" s="21">
        <v>0.25</v>
      </c>
      <c r="H88" s="21">
        <f>A59</f>
        <v>53</v>
      </c>
      <c r="I88" s="21">
        <f>A60</f>
        <v>54</v>
      </c>
      <c r="J88" s="21"/>
      <c r="K88" s="21"/>
      <c r="L88" s="21"/>
      <c r="M88" s="21" t="s">
        <v>51</v>
      </c>
      <c r="N88" s="21" t="s">
        <v>383</v>
      </c>
      <c r="O88" s="21" t="s">
        <v>386</v>
      </c>
      <c r="P88" s="21" t="s">
        <v>37</v>
      </c>
      <c r="Q88" s="21" t="s">
        <v>118</v>
      </c>
    </row>
    <row r="89" spans="1:17" ht="31.5" x14ac:dyDescent="0.25">
      <c r="A89" s="21">
        <v>83</v>
      </c>
      <c r="B89" s="21" t="s">
        <v>256</v>
      </c>
      <c r="C89" s="21" t="s">
        <v>257</v>
      </c>
      <c r="D89" s="21"/>
      <c r="E89" s="21" t="str">
        <f t="shared" si="1"/>
        <v>Select ...</v>
      </c>
      <c r="F89" s="21">
        <v>3</v>
      </c>
      <c r="G89" s="21">
        <v>3</v>
      </c>
      <c r="H89" s="21">
        <f>A76</f>
        <v>70</v>
      </c>
      <c r="I89" s="21"/>
      <c r="J89" s="21"/>
      <c r="K89" s="21"/>
      <c r="L89" s="21"/>
      <c r="M89" s="21" t="s">
        <v>52</v>
      </c>
      <c r="N89" s="21" t="s">
        <v>383</v>
      </c>
      <c r="O89" s="21" t="s">
        <v>356</v>
      </c>
      <c r="P89" s="21" t="s">
        <v>392</v>
      </c>
      <c r="Q89" s="21" t="s">
        <v>70</v>
      </c>
    </row>
    <row r="90" spans="1:17" x14ac:dyDescent="0.25">
      <c r="A90" s="21">
        <v>84</v>
      </c>
      <c r="B90" s="21" t="s">
        <v>256</v>
      </c>
      <c r="C90" s="21" t="s">
        <v>258</v>
      </c>
      <c r="D90" s="21"/>
      <c r="E90" s="21" t="s">
        <v>7</v>
      </c>
      <c r="F90" s="21">
        <v>3</v>
      </c>
      <c r="G90" s="21">
        <v>2.5</v>
      </c>
      <c r="H90" s="21">
        <f>A76</f>
        <v>70</v>
      </c>
      <c r="I90" s="21"/>
      <c r="J90" s="21"/>
      <c r="K90" s="21"/>
      <c r="L90" s="21"/>
      <c r="M90" s="21" t="s">
        <v>52</v>
      </c>
      <c r="N90" s="21" t="s">
        <v>383</v>
      </c>
      <c r="O90" s="21" t="s">
        <v>356</v>
      </c>
      <c r="P90" s="21" t="s">
        <v>392</v>
      </c>
      <c r="Q90" s="21" t="s">
        <v>72</v>
      </c>
    </row>
    <row r="91" spans="1:17" ht="31.5" x14ac:dyDescent="0.25">
      <c r="A91" s="21">
        <v>85</v>
      </c>
      <c r="B91" s="21" t="s">
        <v>256</v>
      </c>
      <c r="C91" s="21" t="s">
        <v>313</v>
      </c>
      <c r="D91" s="21"/>
      <c r="E91" s="21" t="str">
        <f t="shared" si="1"/>
        <v>Select ...</v>
      </c>
      <c r="F91" s="21">
        <v>1</v>
      </c>
      <c r="G91" s="21">
        <v>0.5</v>
      </c>
      <c r="H91" s="21">
        <f>A76</f>
        <v>70</v>
      </c>
      <c r="I91" s="21">
        <f>A89</f>
        <v>83</v>
      </c>
      <c r="J91" s="21">
        <f>A90</f>
        <v>84</v>
      </c>
      <c r="K91" s="21"/>
      <c r="L91" s="21"/>
      <c r="M91" s="21" t="s">
        <v>52</v>
      </c>
      <c r="N91" s="21" t="s">
        <v>383</v>
      </c>
      <c r="O91" s="21" t="s">
        <v>356</v>
      </c>
      <c r="P91" s="21" t="s">
        <v>392</v>
      </c>
      <c r="Q91" s="21" t="s">
        <v>72</v>
      </c>
    </row>
    <row r="92" spans="1:17" ht="31.5" x14ac:dyDescent="0.25">
      <c r="A92" s="21">
        <v>86</v>
      </c>
      <c r="B92" s="21" t="s">
        <v>256</v>
      </c>
      <c r="C92" s="21" t="s">
        <v>390</v>
      </c>
      <c r="D92" s="21"/>
      <c r="E92" s="21" t="str">
        <f t="shared" si="1"/>
        <v>Select ...</v>
      </c>
      <c r="F92" s="21">
        <v>2</v>
      </c>
      <c r="G92" s="21">
        <v>1.5</v>
      </c>
      <c r="H92" s="21">
        <f>A76</f>
        <v>70</v>
      </c>
      <c r="I92" s="21">
        <f>A89</f>
        <v>83</v>
      </c>
      <c r="J92" s="21">
        <f>A90</f>
        <v>84</v>
      </c>
      <c r="K92" s="21"/>
      <c r="L92" s="21"/>
      <c r="M92" s="21" t="s">
        <v>52</v>
      </c>
      <c r="N92" s="21" t="s">
        <v>383</v>
      </c>
      <c r="O92" s="21" t="s">
        <v>356</v>
      </c>
      <c r="P92" s="21" t="s">
        <v>392</v>
      </c>
      <c r="Q92" s="21" t="s">
        <v>75</v>
      </c>
    </row>
    <row r="93" spans="1:17" ht="47.25" x14ac:dyDescent="0.25">
      <c r="A93" s="21">
        <v>87</v>
      </c>
      <c r="B93" s="21" t="s">
        <v>256</v>
      </c>
      <c r="C93" s="21" t="s">
        <v>314</v>
      </c>
      <c r="D93" s="21"/>
      <c r="E93" s="21" t="str">
        <f t="shared" si="1"/>
        <v>Select ...</v>
      </c>
      <c r="F93" s="21">
        <v>1.5</v>
      </c>
      <c r="G93" s="21">
        <v>1</v>
      </c>
      <c r="H93" s="21">
        <f>A76</f>
        <v>70</v>
      </c>
      <c r="I93" s="21"/>
      <c r="J93" s="21"/>
      <c r="K93" s="21"/>
      <c r="L93" s="21"/>
      <c r="M93" s="21" t="s">
        <v>52</v>
      </c>
      <c r="N93" s="21" t="s">
        <v>383</v>
      </c>
      <c r="O93" s="21" t="s">
        <v>356</v>
      </c>
      <c r="P93" s="21" t="s">
        <v>392</v>
      </c>
      <c r="Q93" s="21" t="s">
        <v>99</v>
      </c>
    </row>
    <row r="94" spans="1:17" ht="31.5" x14ac:dyDescent="0.25">
      <c r="A94" s="21">
        <v>88</v>
      </c>
      <c r="B94" s="21" t="s">
        <v>256</v>
      </c>
      <c r="C94" s="21" t="s">
        <v>389</v>
      </c>
      <c r="D94" s="21"/>
      <c r="E94" s="21" t="str">
        <f t="shared" si="1"/>
        <v>Select ...</v>
      </c>
      <c r="F94" s="21">
        <v>0.5</v>
      </c>
      <c r="G94" s="21">
        <v>0.5</v>
      </c>
      <c r="H94" s="21" t="str">
        <f>A6</f>
        <v>INIT</v>
      </c>
      <c r="I94" s="21"/>
      <c r="J94" s="21"/>
      <c r="K94" s="21"/>
      <c r="L94" s="21"/>
      <c r="M94" s="21" t="s">
        <v>52</v>
      </c>
      <c r="N94" s="21" t="s">
        <v>360</v>
      </c>
      <c r="O94" s="21" t="s">
        <v>0</v>
      </c>
      <c r="P94" s="21" t="s">
        <v>384</v>
      </c>
      <c r="Q94" s="21" t="s">
        <v>2</v>
      </c>
    </row>
    <row r="95" spans="1:17" ht="31.5" x14ac:dyDescent="0.25">
      <c r="A95" s="21">
        <v>89</v>
      </c>
      <c r="B95" s="21" t="s">
        <v>256</v>
      </c>
      <c r="C95" s="21" t="s">
        <v>397</v>
      </c>
      <c r="D95" s="21"/>
      <c r="E95" s="21" t="str">
        <f t="shared" si="1"/>
        <v>Select ...</v>
      </c>
      <c r="F95" s="21">
        <v>1</v>
      </c>
      <c r="G95" s="21">
        <v>1</v>
      </c>
      <c r="H95" s="21">
        <f>A89</f>
        <v>83</v>
      </c>
      <c r="I95" s="21">
        <f>A90</f>
        <v>84</v>
      </c>
      <c r="J95" s="21">
        <f>A91</f>
        <v>85</v>
      </c>
      <c r="K95" s="21">
        <f>A92</f>
        <v>86</v>
      </c>
      <c r="L95" s="21"/>
      <c r="M95" s="21" t="s">
        <v>52</v>
      </c>
      <c r="N95" s="21" t="s">
        <v>383</v>
      </c>
      <c r="O95" s="21" t="s">
        <v>392</v>
      </c>
      <c r="P95" s="21" t="s">
        <v>392</v>
      </c>
      <c r="Q95" s="21" t="s">
        <v>198</v>
      </c>
    </row>
    <row r="96" spans="1:17" ht="31.5" x14ac:dyDescent="0.25">
      <c r="A96" s="21">
        <v>90</v>
      </c>
      <c r="B96" s="21" t="s">
        <v>256</v>
      </c>
      <c r="C96" s="21" t="s">
        <v>398</v>
      </c>
      <c r="D96" s="21"/>
      <c r="E96" s="21" t="str">
        <f t="shared" si="1"/>
        <v>Select ...</v>
      </c>
      <c r="F96" s="21">
        <v>0.75</v>
      </c>
      <c r="G96" s="21">
        <v>0.25</v>
      </c>
      <c r="H96" s="21">
        <f>A89</f>
        <v>83</v>
      </c>
      <c r="I96" s="21">
        <f>A90</f>
        <v>84</v>
      </c>
      <c r="J96" s="21">
        <f>A91</f>
        <v>85</v>
      </c>
      <c r="K96" s="21">
        <f>A92</f>
        <v>86</v>
      </c>
      <c r="L96" s="21"/>
      <c r="M96" s="21" t="s">
        <v>52</v>
      </c>
      <c r="N96" s="21" t="s">
        <v>383</v>
      </c>
      <c r="O96" s="21" t="s">
        <v>392</v>
      </c>
      <c r="P96" s="21" t="s">
        <v>392</v>
      </c>
      <c r="Q96" s="21" t="s">
        <v>198</v>
      </c>
    </row>
    <row r="97" spans="1:17" ht="47.25" x14ac:dyDescent="0.25">
      <c r="A97" s="21">
        <v>91</v>
      </c>
      <c r="B97" s="21" t="s">
        <v>256</v>
      </c>
      <c r="C97" s="21" t="s">
        <v>399</v>
      </c>
      <c r="D97" s="21"/>
      <c r="E97" s="21" t="s">
        <v>7</v>
      </c>
      <c r="F97" s="21">
        <v>0.5</v>
      </c>
      <c r="G97" s="21">
        <v>0.25</v>
      </c>
      <c r="H97" s="21">
        <f>A90</f>
        <v>84</v>
      </c>
      <c r="I97" s="21"/>
      <c r="J97" s="21"/>
      <c r="K97" s="21"/>
      <c r="L97" s="21"/>
      <c r="M97" s="21" t="s">
        <v>52</v>
      </c>
      <c r="N97" s="21" t="s">
        <v>383</v>
      </c>
      <c r="O97" s="21" t="s">
        <v>392</v>
      </c>
      <c r="P97" s="21" t="s">
        <v>392</v>
      </c>
      <c r="Q97" s="21" t="s">
        <v>198</v>
      </c>
    </row>
    <row r="98" spans="1:17" ht="31.5" x14ac:dyDescent="0.25">
      <c r="A98" s="21">
        <v>92</v>
      </c>
      <c r="B98" s="21" t="s">
        <v>256</v>
      </c>
      <c r="C98" s="21" t="s">
        <v>400</v>
      </c>
      <c r="D98" s="21"/>
      <c r="E98" s="21" t="str">
        <f t="shared" si="1"/>
        <v>Select ...</v>
      </c>
      <c r="F98" s="21">
        <v>0.5</v>
      </c>
      <c r="G98" s="21">
        <v>0.25</v>
      </c>
      <c r="H98" s="21">
        <f>A96</f>
        <v>90</v>
      </c>
      <c r="I98" s="21">
        <f>A97</f>
        <v>91</v>
      </c>
      <c r="J98" s="21"/>
      <c r="K98" s="21"/>
      <c r="L98" s="21"/>
      <c r="M98" s="21" t="s">
        <v>52</v>
      </c>
      <c r="N98" s="21" t="s">
        <v>383</v>
      </c>
      <c r="O98" s="21" t="s">
        <v>392</v>
      </c>
      <c r="P98" s="21" t="s">
        <v>392</v>
      </c>
      <c r="Q98" s="21" t="s">
        <v>195</v>
      </c>
    </row>
    <row r="99" spans="1:17" x14ac:dyDescent="0.25">
      <c r="A99" s="21">
        <v>93</v>
      </c>
      <c r="B99" s="21" t="s">
        <v>256</v>
      </c>
      <c r="C99" s="21" t="s">
        <v>259</v>
      </c>
      <c r="D99" s="21"/>
      <c r="E99" s="21" t="str">
        <f t="shared" si="1"/>
        <v>Select ...</v>
      </c>
      <c r="F99" s="21">
        <v>0.5</v>
      </c>
      <c r="G99" s="21">
        <v>0.25</v>
      </c>
      <c r="H99" s="21">
        <f>A96</f>
        <v>90</v>
      </c>
      <c r="I99" s="21">
        <f>A97</f>
        <v>91</v>
      </c>
      <c r="J99" s="21">
        <f>A98</f>
        <v>92</v>
      </c>
      <c r="K99" s="21"/>
      <c r="L99" s="21"/>
      <c r="M99" s="21" t="s">
        <v>52</v>
      </c>
      <c r="N99" s="21" t="s">
        <v>360</v>
      </c>
      <c r="O99" s="21" t="s">
        <v>0</v>
      </c>
      <c r="P99" s="21" t="s">
        <v>384</v>
      </c>
      <c r="Q99" s="21" t="s">
        <v>2</v>
      </c>
    </row>
    <row r="100" spans="1:17" x14ac:dyDescent="0.25">
      <c r="A100" s="21">
        <v>94</v>
      </c>
      <c r="B100" s="21" t="s">
        <v>256</v>
      </c>
      <c r="C100" s="21" t="s">
        <v>260</v>
      </c>
      <c r="D100" s="21"/>
      <c r="E100" s="21" t="s">
        <v>7</v>
      </c>
      <c r="F100" s="21">
        <v>0.5</v>
      </c>
      <c r="G100" s="21">
        <v>0.25</v>
      </c>
      <c r="H100" s="21">
        <f>A103</f>
        <v>97</v>
      </c>
      <c r="I100" s="21">
        <f>A104</f>
        <v>98</v>
      </c>
      <c r="J100" s="21"/>
      <c r="K100" s="21"/>
      <c r="L100" s="21"/>
      <c r="M100" s="21" t="s">
        <v>51</v>
      </c>
      <c r="N100" s="21" t="s">
        <v>383</v>
      </c>
      <c r="O100" s="21" t="s">
        <v>392</v>
      </c>
      <c r="P100" s="21" t="s">
        <v>392</v>
      </c>
      <c r="Q100" s="21" t="s">
        <v>88</v>
      </c>
    </row>
    <row r="101" spans="1:17" ht="31.5" x14ac:dyDescent="0.25">
      <c r="A101" s="21">
        <v>95</v>
      </c>
      <c r="B101" s="21" t="s">
        <v>256</v>
      </c>
      <c r="C101" s="21" t="s">
        <v>402</v>
      </c>
      <c r="D101" s="21"/>
      <c r="E101" s="21" t="str">
        <f t="shared" si="1"/>
        <v>Select ...</v>
      </c>
      <c r="F101" s="21">
        <v>0.25</v>
      </c>
      <c r="G101" s="21">
        <v>0</v>
      </c>
      <c r="H101" s="21">
        <f>A103</f>
        <v>97</v>
      </c>
      <c r="I101" s="21">
        <f>A104</f>
        <v>98</v>
      </c>
      <c r="J101" s="21"/>
      <c r="K101" s="21"/>
      <c r="L101" s="21"/>
      <c r="M101" s="21" t="s">
        <v>51</v>
      </c>
      <c r="N101" s="21" t="s">
        <v>383</v>
      </c>
      <c r="O101" s="21" t="s">
        <v>392</v>
      </c>
      <c r="P101" s="21" t="s">
        <v>392</v>
      </c>
      <c r="Q101" s="21" t="s">
        <v>88</v>
      </c>
    </row>
    <row r="102" spans="1:17" x14ac:dyDescent="0.25">
      <c r="A102" s="21">
        <v>96</v>
      </c>
      <c r="B102" s="21" t="s">
        <v>256</v>
      </c>
      <c r="C102" s="21" t="s">
        <v>261</v>
      </c>
      <c r="D102" s="21"/>
      <c r="E102" s="21" t="str">
        <f t="shared" si="1"/>
        <v>Select ...</v>
      </c>
      <c r="F102" s="21">
        <v>0.5</v>
      </c>
      <c r="G102" s="21">
        <v>0.5</v>
      </c>
      <c r="H102" s="21" t="str">
        <f>A6</f>
        <v>INIT</v>
      </c>
      <c r="I102" s="21"/>
      <c r="J102" s="21"/>
      <c r="K102" s="21"/>
      <c r="L102" s="21"/>
      <c r="M102" s="21" t="s">
        <v>52</v>
      </c>
      <c r="N102" s="21" t="s">
        <v>383</v>
      </c>
      <c r="O102" s="21" t="s">
        <v>0</v>
      </c>
      <c r="P102" s="21" t="s">
        <v>384</v>
      </c>
      <c r="Q102" s="21" t="s">
        <v>2</v>
      </c>
    </row>
    <row r="103" spans="1:17" x14ac:dyDescent="0.25">
      <c r="A103" s="21">
        <v>97</v>
      </c>
      <c r="B103" s="21" t="s">
        <v>256</v>
      </c>
      <c r="C103" s="21" t="s">
        <v>262</v>
      </c>
      <c r="D103" s="21"/>
      <c r="E103" s="21" t="s">
        <v>7</v>
      </c>
      <c r="F103" s="21">
        <v>0.5</v>
      </c>
      <c r="G103" s="21">
        <v>0.5</v>
      </c>
      <c r="H103" s="21">
        <f>A89</f>
        <v>83</v>
      </c>
      <c r="I103" s="21">
        <f>A90</f>
        <v>84</v>
      </c>
      <c r="J103" s="21">
        <f>A91</f>
        <v>85</v>
      </c>
      <c r="K103" s="21">
        <f>A92</f>
        <v>86</v>
      </c>
      <c r="L103" s="21"/>
      <c r="M103" s="21" t="s">
        <v>52</v>
      </c>
      <c r="N103" s="21" t="s">
        <v>383</v>
      </c>
      <c r="O103" s="21" t="s">
        <v>392</v>
      </c>
      <c r="P103" s="21" t="s">
        <v>401</v>
      </c>
      <c r="Q103" s="21" t="s">
        <v>88</v>
      </c>
    </row>
    <row r="104" spans="1:17" ht="31.5" x14ac:dyDescent="0.25">
      <c r="A104" s="21">
        <v>98</v>
      </c>
      <c r="B104" s="21" t="s">
        <v>256</v>
      </c>
      <c r="C104" s="21" t="s">
        <v>263</v>
      </c>
      <c r="D104" s="21"/>
      <c r="E104" s="21" t="str">
        <f t="shared" si="1"/>
        <v>Select ...</v>
      </c>
      <c r="F104" s="21">
        <v>0.25</v>
      </c>
      <c r="G104" s="21">
        <v>0</v>
      </c>
      <c r="H104" s="21">
        <f>A89</f>
        <v>83</v>
      </c>
      <c r="I104" s="21">
        <f>A90</f>
        <v>84</v>
      </c>
      <c r="J104" s="21">
        <f>A91</f>
        <v>85</v>
      </c>
      <c r="K104" s="21">
        <f>A92</f>
        <v>86</v>
      </c>
      <c r="L104" s="21"/>
      <c r="M104" s="21" t="s">
        <v>52</v>
      </c>
      <c r="N104" s="21" t="s">
        <v>383</v>
      </c>
      <c r="O104" s="21" t="s">
        <v>392</v>
      </c>
      <c r="P104" s="21" t="s">
        <v>401</v>
      </c>
      <c r="Q104" s="21" t="s">
        <v>88</v>
      </c>
    </row>
    <row r="105" spans="1:17" ht="47.25" x14ac:dyDescent="0.25">
      <c r="A105" s="21">
        <v>99</v>
      </c>
      <c r="B105" s="21" t="s">
        <v>388</v>
      </c>
      <c r="C105" s="21" t="s">
        <v>264</v>
      </c>
      <c r="D105" s="21"/>
      <c r="E105" s="21" t="str">
        <f t="shared" si="1"/>
        <v>Select ...</v>
      </c>
      <c r="F105" s="21">
        <v>0.75</v>
      </c>
      <c r="G105" s="21">
        <v>0.5</v>
      </c>
      <c r="H105" s="21">
        <f>A100</f>
        <v>94</v>
      </c>
      <c r="I105" s="21">
        <f>A101</f>
        <v>95</v>
      </c>
      <c r="J105" s="21"/>
      <c r="K105" s="21"/>
      <c r="L105" s="21"/>
      <c r="M105" s="21" t="s">
        <v>52</v>
      </c>
      <c r="N105" s="21" t="s">
        <v>383</v>
      </c>
      <c r="O105" s="21" t="s">
        <v>392</v>
      </c>
      <c r="P105" s="21" t="s">
        <v>392</v>
      </c>
      <c r="Q105" s="21" t="s">
        <v>403</v>
      </c>
    </row>
    <row r="106" spans="1:17" ht="31.5" x14ac:dyDescent="0.25">
      <c r="A106" s="21">
        <v>100</v>
      </c>
      <c r="B106" s="21" t="s">
        <v>388</v>
      </c>
      <c r="C106" s="21" t="s">
        <v>316</v>
      </c>
      <c r="D106" s="21"/>
      <c r="E106" s="21" t="s">
        <v>7</v>
      </c>
      <c r="F106" s="21">
        <v>0.5</v>
      </c>
      <c r="G106" s="21">
        <v>0.25</v>
      </c>
      <c r="H106" s="21">
        <f>A100</f>
        <v>94</v>
      </c>
      <c r="I106" s="21">
        <f>A101</f>
        <v>95</v>
      </c>
      <c r="J106" s="21"/>
      <c r="K106" s="21"/>
      <c r="L106" s="21"/>
      <c r="M106" s="21" t="s">
        <v>52</v>
      </c>
      <c r="N106" s="21" t="s">
        <v>383</v>
      </c>
      <c r="O106" s="21" t="s">
        <v>392</v>
      </c>
      <c r="P106" s="21" t="s">
        <v>392</v>
      </c>
      <c r="Q106" s="21" t="s">
        <v>93</v>
      </c>
    </row>
    <row r="107" spans="1:17" ht="31.5" x14ac:dyDescent="0.25">
      <c r="A107" s="21">
        <v>101</v>
      </c>
      <c r="B107" s="21" t="s">
        <v>388</v>
      </c>
      <c r="C107" s="21" t="s">
        <v>315</v>
      </c>
      <c r="D107" s="21"/>
      <c r="E107" s="21" t="str">
        <f t="shared" si="1"/>
        <v>Select ...</v>
      </c>
      <c r="F107" s="21">
        <v>0.5</v>
      </c>
      <c r="G107" s="21">
        <v>0</v>
      </c>
      <c r="H107" s="21">
        <f>A101</f>
        <v>95</v>
      </c>
      <c r="I107" s="21"/>
      <c r="J107" s="21"/>
      <c r="K107" s="21"/>
      <c r="L107" s="21"/>
      <c r="M107" s="21" t="s">
        <v>52</v>
      </c>
      <c r="N107" s="21" t="s">
        <v>383</v>
      </c>
      <c r="O107" s="21" t="s">
        <v>392</v>
      </c>
      <c r="P107" s="21" t="s">
        <v>392</v>
      </c>
      <c r="Q107" s="21" t="s">
        <v>66</v>
      </c>
    </row>
    <row r="108" spans="1:17" ht="31.5" x14ac:dyDescent="0.25">
      <c r="A108" s="21">
        <v>102</v>
      </c>
      <c r="B108" s="21" t="s">
        <v>388</v>
      </c>
      <c r="C108" s="21" t="s">
        <v>391</v>
      </c>
      <c r="D108" s="21"/>
      <c r="E108" s="21" t="str">
        <f t="shared" si="1"/>
        <v>Select ...</v>
      </c>
      <c r="F108" s="21">
        <v>0.5</v>
      </c>
      <c r="G108" s="21">
        <v>0.5</v>
      </c>
      <c r="H108" s="21">
        <f>A105</f>
        <v>99</v>
      </c>
      <c r="I108" s="21">
        <f>A106</f>
        <v>100</v>
      </c>
      <c r="J108" s="21">
        <f>A107</f>
        <v>101</v>
      </c>
      <c r="K108" s="21">
        <f>A109</f>
        <v>103</v>
      </c>
      <c r="L108" s="21">
        <f>A110</f>
        <v>104</v>
      </c>
      <c r="M108" s="21" t="s">
        <v>52</v>
      </c>
      <c r="N108" s="21" t="s">
        <v>360</v>
      </c>
      <c r="O108" s="21" t="s">
        <v>392</v>
      </c>
      <c r="P108" s="21" t="s">
        <v>384</v>
      </c>
      <c r="Q108" s="21" t="s">
        <v>2</v>
      </c>
    </row>
    <row r="109" spans="1:17" ht="31.5" x14ac:dyDescent="0.25">
      <c r="A109" s="21">
        <v>103</v>
      </c>
      <c r="B109" s="21" t="s">
        <v>388</v>
      </c>
      <c r="C109" s="21" t="s">
        <v>265</v>
      </c>
      <c r="D109" s="21"/>
      <c r="E109" s="21" t="str">
        <f t="shared" si="1"/>
        <v>Select ...</v>
      </c>
      <c r="F109" s="21">
        <v>1</v>
      </c>
      <c r="G109" s="21">
        <v>1</v>
      </c>
      <c r="H109" s="21">
        <f>A100</f>
        <v>94</v>
      </c>
      <c r="I109" s="21">
        <f>A101</f>
        <v>95</v>
      </c>
      <c r="J109" s="21"/>
      <c r="K109" s="21"/>
      <c r="L109" s="21"/>
      <c r="M109" s="21" t="s">
        <v>52</v>
      </c>
      <c r="N109" s="21" t="s">
        <v>383</v>
      </c>
      <c r="O109" s="21" t="s">
        <v>392</v>
      </c>
      <c r="P109" s="21" t="s">
        <v>394</v>
      </c>
      <c r="Q109" s="21" t="s">
        <v>0</v>
      </c>
    </row>
    <row r="110" spans="1:17" ht="31.5" x14ac:dyDescent="0.25">
      <c r="A110" s="21">
        <v>104</v>
      </c>
      <c r="B110" s="21" t="s">
        <v>388</v>
      </c>
      <c r="C110" s="21" t="s">
        <v>406</v>
      </c>
      <c r="D110" s="21"/>
      <c r="E110" s="21" t="s">
        <v>7</v>
      </c>
      <c r="F110" s="21">
        <v>0.5</v>
      </c>
      <c r="G110" s="21">
        <v>0.25</v>
      </c>
      <c r="H110" s="21">
        <f>A100</f>
        <v>94</v>
      </c>
      <c r="I110" s="21">
        <f>A101</f>
        <v>95</v>
      </c>
      <c r="J110" s="21"/>
      <c r="K110" s="21"/>
      <c r="L110" s="21"/>
      <c r="M110" s="21" t="s">
        <v>52</v>
      </c>
      <c r="N110" s="21" t="s">
        <v>383</v>
      </c>
      <c r="O110" s="21" t="s">
        <v>392</v>
      </c>
      <c r="P110" s="21" t="s">
        <v>394</v>
      </c>
      <c r="Q110" s="21" t="s">
        <v>163</v>
      </c>
    </row>
    <row r="111" spans="1:17" ht="31.5" x14ac:dyDescent="0.25">
      <c r="A111" s="21">
        <v>105</v>
      </c>
      <c r="B111" s="21" t="s">
        <v>388</v>
      </c>
      <c r="C111" s="21" t="s">
        <v>266</v>
      </c>
      <c r="D111" s="21"/>
      <c r="E111" s="21" t="str">
        <f t="shared" si="1"/>
        <v>Select ...</v>
      </c>
      <c r="F111" s="21">
        <v>1</v>
      </c>
      <c r="G111" s="21">
        <v>1</v>
      </c>
      <c r="H111" s="21">
        <f>A108</f>
        <v>102</v>
      </c>
      <c r="I111" s="21"/>
      <c r="J111" s="21"/>
      <c r="K111" s="21"/>
      <c r="L111" s="21"/>
      <c r="M111" s="21" t="s">
        <v>51</v>
      </c>
      <c r="N111" s="21" t="s">
        <v>360</v>
      </c>
      <c r="O111" s="21" t="s">
        <v>37</v>
      </c>
      <c r="P111" s="21" t="s">
        <v>392</v>
      </c>
      <c r="Q111" s="21" t="s">
        <v>410</v>
      </c>
    </row>
    <row r="112" spans="1:17" ht="31.5" x14ac:dyDescent="0.25">
      <c r="A112" s="21">
        <v>106</v>
      </c>
      <c r="B112" s="21" t="s">
        <v>388</v>
      </c>
      <c r="C112" s="21" t="s">
        <v>407</v>
      </c>
      <c r="D112" s="21"/>
      <c r="E112" s="21" t="str">
        <f t="shared" si="1"/>
        <v>Select ...</v>
      </c>
      <c r="F112" s="21">
        <v>0.5</v>
      </c>
      <c r="G112" s="21">
        <v>0.25</v>
      </c>
      <c r="H112" s="21">
        <f>A108</f>
        <v>102</v>
      </c>
      <c r="I112" s="21"/>
      <c r="J112" s="21"/>
      <c r="K112" s="21"/>
      <c r="L112" s="21"/>
      <c r="M112" s="21" t="s">
        <v>51</v>
      </c>
      <c r="N112" s="21" t="s">
        <v>360</v>
      </c>
      <c r="O112" s="21" t="s">
        <v>37</v>
      </c>
      <c r="P112" s="21" t="s">
        <v>392</v>
      </c>
      <c r="Q112" s="21" t="s">
        <v>82</v>
      </c>
    </row>
    <row r="113" spans="1:17" ht="31.5" x14ac:dyDescent="0.25">
      <c r="A113" s="21">
        <v>107</v>
      </c>
      <c r="B113" s="21" t="s">
        <v>388</v>
      </c>
      <c r="C113" s="21" t="s">
        <v>317</v>
      </c>
      <c r="D113" s="21"/>
      <c r="E113" s="21" t="str">
        <f t="shared" si="1"/>
        <v>Select ...</v>
      </c>
      <c r="F113" s="21">
        <v>0.25</v>
      </c>
      <c r="G113" s="21">
        <v>0.25</v>
      </c>
      <c r="H113" s="21">
        <f>A108</f>
        <v>102</v>
      </c>
      <c r="I113" s="21"/>
      <c r="J113" s="21"/>
      <c r="K113" s="21"/>
      <c r="L113" s="21"/>
      <c r="M113" s="21" t="s">
        <v>52</v>
      </c>
      <c r="N113" s="21" t="s">
        <v>383</v>
      </c>
      <c r="O113" s="21" t="s">
        <v>392</v>
      </c>
      <c r="P113" s="21" t="s">
        <v>0</v>
      </c>
      <c r="Q113" s="21" t="s">
        <v>92</v>
      </c>
    </row>
    <row r="114" spans="1:17" ht="31.5" x14ac:dyDescent="0.25">
      <c r="A114" s="21">
        <v>108</v>
      </c>
      <c r="B114" s="21" t="s">
        <v>388</v>
      </c>
      <c r="C114" s="21" t="s">
        <v>318</v>
      </c>
      <c r="D114" s="21"/>
      <c r="E114" s="21" t="str">
        <f t="shared" si="1"/>
        <v>Select ...</v>
      </c>
      <c r="F114" s="21">
        <v>0.25</v>
      </c>
      <c r="G114" s="21">
        <v>0</v>
      </c>
      <c r="H114" s="21">
        <f>A108</f>
        <v>102</v>
      </c>
      <c r="I114" s="21"/>
      <c r="J114" s="21"/>
      <c r="K114" s="21"/>
      <c r="L114" s="21"/>
      <c r="M114" s="21" t="s">
        <v>52</v>
      </c>
      <c r="N114" s="21" t="s">
        <v>383</v>
      </c>
      <c r="O114" s="21" t="s">
        <v>392</v>
      </c>
      <c r="P114" s="21" t="s">
        <v>0</v>
      </c>
      <c r="Q114" s="21" t="s">
        <v>66</v>
      </c>
    </row>
    <row r="115" spans="1:17" ht="31.5" x14ac:dyDescent="0.25">
      <c r="A115" s="21">
        <v>109</v>
      </c>
      <c r="B115" s="21" t="s">
        <v>267</v>
      </c>
      <c r="C115" s="21" t="s">
        <v>435</v>
      </c>
      <c r="D115" s="21"/>
      <c r="E115" s="21" t="s">
        <v>7</v>
      </c>
      <c r="F115" s="21">
        <v>0.5</v>
      </c>
      <c r="G115" s="21">
        <v>0.25</v>
      </c>
      <c r="H115" s="21">
        <f>A59</f>
        <v>53</v>
      </c>
      <c r="I115" s="21">
        <f>A60</f>
        <v>54</v>
      </c>
      <c r="J115" s="21"/>
      <c r="K115" s="21"/>
      <c r="L115" s="21"/>
      <c r="M115" s="21" t="s">
        <v>51</v>
      </c>
      <c r="N115" s="21" t="s">
        <v>53</v>
      </c>
      <c r="O115" s="21" t="s">
        <v>386</v>
      </c>
      <c r="P115" s="21" t="s">
        <v>37</v>
      </c>
      <c r="Q115" s="21" t="s">
        <v>118</v>
      </c>
    </row>
    <row r="116" spans="1:17" ht="31.5" x14ac:dyDescent="0.25">
      <c r="A116" s="21">
        <v>110</v>
      </c>
      <c r="B116" s="21" t="s">
        <v>267</v>
      </c>
      <c r="C116" s="21" t="s">
        <v>268</v>
      </c>
      <c r="D116" s="21"/>
      <c r="E116" s="21" t="s">
        <v>7</v>
      </c>
      <c r="F116" s="21">
        <v>3</v>
      </c>
      <c r="G116" s="21">
        <v>2.5</v>
      </c>
      <c r="H116" s="21">
        <f>A20</f>
        <v>14</v>
      </c>
      <c r="I116" s="21"/>
      <c r="J116" s="21"/>
      <c r="K116" s="21"/>
      <c r="L116" s="21"/>
      <c r="M116" s="21" t="s">
        <v>52</v>
      </c>
      <c r="N116" s="21" t="s">
        <v>53</v>
      </c>
      <c r="O116" s="21" t="s">
        <v>356</v>
      </c>
      <c r="P116" s="21" t="s">
        <v>367</v>
      </c>
      <c r="Q116" s="21" t="s">
        <v>343</v>
      </c>
    </row>
    <row r="117" spans="1:17" ht="31.5" x14ac:dyDescent="0.25">
      <c r="A117" s="21">
        <v>111</v>
      </c>
      <c r="B117" s="21" t="s">
        <v>267</v>
      </c>
      <c r="C117" s="21" t="s">
        <v>319</v>
      </c>
      <c r="D117" s="21"/>
      <c r="E117" s="21" t="str">
        <f t="shared" si="1"/>
        <v>Select ...</v>
      </c>
      <c r="F117" s="21">
        <v>2</v>
      </c>
      <c r="G117" s="21">
        <v>1.5</v>
      </c>
      <c r="H117" s="21">
        <f>A14</f>
        <v>8</v>
      </c>
      <c r="I117" s="21">
        <f>A20</f>
        <v>14</v>
      </c>
      <c r="J117" s="21"/>
      <c r="K117" s="21"/>
      <c r="L117" s="21"/>
      <c r="M117" s="21" t="s">
        <v>52</v>
      </c>
      <c r="N117" s="21" t="s">
        <v>53</v>
      </c>
      <c r="O117" s="21" t="s">
        <v>356</v>
      </c>
      <c r="P117" s="21" t="s">
        <v>367</v>
      </c>
      <c r="Q117" s="21" t="s">
        <v>387</v>
      </c>
    </row>
    <row r="118" spans="1:17" ht="47.25" x14ac:dyDescent="0.25">
      <c r="A118" s="21">
        <v>112</v>
      </c>
      <c r="B118" s="21" t="s">
        <v>267</v>
      </c>
      <c r="C118" s="21" t="s">
        <v>320</v>
      </c>
      <c r="D118" s="21"/>
      <c r="E118" s="21" t="str">
        <f t="shared" si="1"/>
        <v>Select ...</v>
      </c>
      <c r="F118" s="21">
        <v>2</v>
      </c>
      <c r="G118" s="21">
        <v>1</v>
      </c>
      <c r="H118" s="21">
        <f>A21</f>
        <v>15</v>
      </c>
      <c r="I118" s="21">
        <f>A24</f>
        <v>18</v>
      </c>
      <c r="J118" s="21"/>
      <c r="K118" s="21"/>
      <c r="L118" s="21"/>
      <c r="M118" s="21" t="s">
        <v>52</v>
      </c>
      <c r="N118" s="21" t="s">
        <v>53</v>
      </c>
      <c r="O118" s="21" t="s">
        <v>367</v>
      </c>
      <c r="P118" s="21" t="s">
        <v>370</v>
      </c>
      <c r="Q118" s="21" t="s">
        <v>109</v>
      </c>
    </row>
    <row r="119" spans="1:17" ht="47.25" x14ac:dyDescent="0.25">
      <c r="A119" s="21">
        <v>113</v>
      </c>
      <c r="B119" s="21" t="s">
        <v>267</v>
      </c>
      <c r="C119" s="21" t="s">
        <v>321</v>
      </c>
      <c r="D119" s="21"/>
      <c r="E119" s="21" t="str">
        <f t="shared" si="1"/>
        <v>Select ...</v>
      </c>
      <c r="F119" s="21">
        <v>1.5</v>
      </c>
      <c r="G119" s="21">
        <v>0.5</v>
      </c>
      <c r="H119" s="21">
        <f>A20</f>
        <v>14</v>
      </c>
      <c r="I119" s="21">
        <f>A21</f>
        <v>15</v>
      </c>
      <c r="J119" s="21">
        <f>A22</f>
        <v>16</v>
      </c>
      <c r="K119" s="21">
        <f>A25</f>
        <v>19</v>
      </c>
      <c r="L119" s="21"/>
      <c r="M119" s="21" t="s">
        <v>52</v>
      </c>
      <c r="N119" s="21" t="s">
        <v>53</v>
      </c>
      <c r="O119" s="21" t="s">
        <v>356</v>
      </c>
      <c r="P119" s="21" t="s">
        <v>367</v>
      </c>
      <c r="Q119" s="21" t="s">
        <v>404</v>
      </c>
    </row>
    <row r="120" spans="1:17" ht="31.5" x14ac:dyDescent="0.25">
      <c r="A120" s="21">
        <v>114</v>
      </c>
      <c r="B120" s="21" t="s">
        <v>267</v>
      </c>
      <c r="C120" s="21" t="s">
        <v>322</v>
      </c>
      <c r="D120" s="21"/>
      <c r="E120" s="21" t="s">
        <v>7</v>
      </c>
      <c r="F120" s="21">
        <v>2</v>
      </c>
      <c r="G120" s="21">
        <v>1.5</v>
      </c>
      <c r="H120" s="21">
        <f>A24</f>
        <v>18</v>
      </c>
      <c r="I120" s="21">
        <f>A27</f>
        <v>21</v>
      </c>
      <c r="J120" s="21"/>
      <c r="K120" s="21"/>
      <c r="L120" s="21"/>
      <c r="M120" s="21" t="s">
        <v>52</v>
      </c>
      <c r="N120" s="21" t="s">
        <v>53</v>
      </c>
      <c r="O120" s="21" t="s">
        <v>367</v>
      </c>
      <c r="P120" s="21" t="s">
        <v>370</v>
      </c>
      <c r="Q120" s="21" t="s">
        <v>106</v>
      </c>
    </row>
    <row r="121" spans="1:17" ht="31.5" x14ac:dyDescent="0.25">
      <c r="A121" s="21">
        <v>115</v>
      </c>
      <c r="B121" s="21" t="s">
        <v>267</v>
      </c>
      <c r="C121" s="21" t="s">
        <v>323</v>
      </c>
      <c r="D121" s="21"/>
      <c r="E121" s="21" t="str">
        <f t="shared" si="1"/>
        <v>Select ...</v>
      </c>
      <c r="F121" s="21">
        <v>0.5</v>
      </c>
      <c r="G121" s="21">
        <v>0.5</v>
      </c>
      <c r="H121" s="21">
        <f>A24</f>
        <v>18</v>
      </c>
      <c r="I121" s="21">
        <f>A27</f>
        <v>21</v>
      </c>
      <c r="J121" s="21"/>
      <c r="K121" s="21"/>
      <c r="L121" s="21"/>
      <c r="M121" s="21" t="s">
        <v>52</v>
      </c>
      <c r="N121" s="21" t="s">
        <v>53</v>
      </c>
      <c r="O121" s="21" t="s">
        <v>367</v>
      </c>
      <c r="P121" s="21" t="s">
        <v>370</v>
      </c>
      <c r="Q121" s="21" t="s">
        <v>106</v>
      </c>
    </row>
    <row r="122" spans="1:17" ht="31.5" x14ac:dyDescent="0.25">
      <c r="A122" s="21">
        <v>116</v>
      </c>
      <c r="B122" s="21" t="s">
        <v>267</v>
      </c>
      <c r="C122" s="21" t="s">
        <v>324</v>
      </c>
      <c r="D122" s="21"/>
      <c r="E122" s="21" t="s">
        <v>7</v>
      </c>
      <c r="F122" s="21">
        <v>0.5</v>
      </c>
      <c r="G122" s="21">
        <v>0.5</v>
      </c>
      <c r="H122" s="21">
        <f>A25</f>
        <v>19</v>
      </c>
      <c r="I122" s="21">
        <f>A27</f>
        <v>21</v>
      </c>
      <c r="J122" s="21"/>
      <c r="K122" s="21"/>
      <c r="L122" s="21"/>
      <c r="M122" s="21" t="s">
        <v>52</v>
      </c>
      <c r="N122" s="21" t="s">
        <v>53</v>
      </c>
      <c r="O122" s="21" t="s">
        <v>367</v>
      </c>
      <c r="P122" s="21" t="s">
        <v>370</v>
      </c>
      <c r="Q122" s="21" t="s">
        <v>146</v>
      </c>
    </row>
    <row r="123" spans="1:17" ht="31.5" x14ac:dyDescent="0.25">
      <c r="A123" s="21">
        <v>117</v>
      </c>
      <c r="B123" s="21" t="s">
        <v>267</v>
      </c>
      <c r="C123" s="21" t="s">
        <v>325</v>
      </c>
      <c r="D123" s="21"/>
      <c r="E123" s="21" t="str">
        <f t="shared" si="1"/>
        <v>Select ...</v>
      </c>
      <c r="F123" s="21">
        <v>0.5</v>
      </c>
      <c r="G123" s="21">
        <v>0.5</v>
      </c>
      <c r="H123" s="21">
        <f>A25</f>
        <v>19</v>
      </c>
      <c r="I123" s="21">
        <f>A27</f>
        <v>21</v>
      </c>
      <c r="J123" s="21"/>
      <c r="K123" s="21"/>
      <c r="L123" s="21"/>
      <c r="M123" s="21" t="s">
        <v>52</v>
      </c>
      <c r="N123" s="21" t="s">
        <v>53</v>
      </c>
      <c r="O123" s="21" t="s">
        <v>367</v>
      </c>
      <c r="P123" s="21" t="s">
        <v>370</v>
      </c>
      <c r="Q123" s="21" t="s">
        <v>189</v>
      </c>
    </row>
    <row r="124" spans="1:17" ht="31.5" x14ac:dyDescent="0.25">
      <c r="A124" s="21">
        <v>118</v>
      </c>
      <c r="B124" s="21" t="s">
        <v>267</v>
      </c>
      <c r="C124" s="21" t="s">
        <v>331</v>
      </c>
      <c r="D124" s="21"/>
      <c r="E124" s="21" t="str">
        <f t="shared" si="1"/>
        <v>Select ...</v>
      </c>
      <c r="F124" s="21">
        <v>0.5</v>
      </c>
      <c r="G124" s="21">
        <v>0.5</v>
      </c>
      <c r="H124" s="21">
        <f>A25</f>
        <v>19</v>
      </c>
      <c r="I124" s="21">
        <f>A27</f>
        <v>21</v>
      </c>
      <c r="J124" s="21"/>
      <c r="K124" s="21"/>
      <c r="L124" s="21"/>
      <c r="M124" s="21" t="s">
        <v>52</v>
      </c>
      <c r="N124" s="21" t="s">
        <v>53</v>
      </c>
      <c r="O124" s="21" t="s">
        <v>367</v>
      </c>
      <c r="P124" s="21" t="s">
        <v>370</v>
      </c>
      <c r="Q124" s="21" t="s">
        <v>160</v>
      </c>
    </row>
    <row r="125" spans="1:17" ht="31.5" x14ac:dyDescent="0.25">
      <c r="A125" s="21">
        <v>119</v>
      </c>
      <c r="B125" s="21" t="s">
        <v>267</v>
      </c>
      <c r="C125" s="21" t="s">
        <v>328</v>
      </c>
      <c r="D125" s="21"/>
      <c r="E125" s="21" t="str">
        <f t="shared" si="1"/>
        <v>Select ...</v>
      </c>
      <c r="F125" s="21">
        <v>0.5</v>
      </c>
      <c r="G125" s="21">
        <v>0.5</v>
      </c>
      <c r="H125" s="21">
        <f>A25</f>
        <v>19</v>
      </c>
      <c r="I125" s="21">
        <f>A27</f>
        <v>21</v>
      </c>
      <c r="J125" s="21"/>
      <c r="K125" s="21"/>
      <c r="L125" s="21"/>
      <c r="M125" s="21" t="s">
        <v>52</v>
      </c>
      <c r="N125" s="21" t="s">
        <v>53</v>
      </c>
      <c r="O125" s="21" t="s">
        <v>367</v>
      </c>
      <c r="P125" s="21" t="s">
        <v>370</v>
      </c>
      <c r="Q125" s="21" t="s">
        <v>405</v>
      </c>
    </row>
    <row r="126" spans="1:17" ht="31.5" x14ac:dyDescent="0.25">
      <c r="A126" s="21">
        <v>120</v>
      </c>
      <c r="B126" s="21" t="s">
        <v>267</v>
      </c>
      <c r="C126" s="21" t="s">
        <v>436</v>
      </c>
      <c r="D126" s="21"/>
      <c r="E126" s="21" t="str">
        <f t="shared" si="1"/>
        <v>Select ...</v>
      </c>
      <c r="F126" s="21">
        <v>0.5</v>
      </c>
      <c r="G126" s="21">
        <v>0.25</v>
      </c>
      <c r="H126" s="21">
        <f>A119</f>
        <v>113</v>
      </c>
      <c r="I126" s="21">
        <f>A120</f>
        <v>114</v>
      </c>
      <c r="J126" s="21">
        <f>A122</f>
        <v>116</v>
      </c>
      <c r="K126" s="21"/>
      <c r="L126" s="21"/>
      <c r="M126" s="21" t="s">
        <v>52</v>
      </c>
      <c r="N126" s="21" t="s">
        <v>53</v>
      </c>
      <c r="O126" s="21" t="s">
        <v>370</v>
      </c>
      <c r="P126" s="21" t="s">
        <v>0</v>
      </c>
      <c r="Q126" s="21" t="s">
        <v>92</v>
      </c>
    </row>
    <row r="127" spans="1:17" x14ac:dyDescent="0.25">
      <c r="A127" s="21">
        <v>121</v>
      </c>
      <c r="B127" s="21" t="s">
        <v>267</v>
      </c>
      <c r="C127" s="21" t="s">
        <v>269</v>
      </c>
      <c r="D127" s="21"/>
      <c r="E127" s="21" t="str">
        <f t="shared" si="1"/>
        <v>Select ...</v>
      </c>
      <c r="F127" s="21">
        <v>1</v>
      </c>
      <c r="G127" s="21">
        <v>1</v>
      </c>
      <c r="H127" s="21">
        <f>A23</f>
        <v>17</v>
      </c>
      <c r="I127" s="21">
        <f>A26</f>
        <v>20</v>
      </c>
      <c r="J127" s="21"/>
      <c r="K127" s="21"/>
      <c r="L127" s="21"/>
      <c r="M127" s="21" t="s">
        <v>52</v>
      </c>
      <c r="N127" s="21" t="s">
        <v>53</v>
      </c>
      <c r="O127" s="21" t="s">
        <v>367</v>
      </c>
      <c r="P127" s="21" t="s">
        <v>394</v>
      </c>
      <c r="Q127" s="21" t="s">
        <v>0</v>
      </c>
    </row>
    <row r="128" spans="1:17" x14ac:dyDescent="0.25">
      <c r="A128" s="21">
        <v>122</v>
      </c>
      <c r="B128" s="21" t="s">
        <v>267</v>
      </c>
      <c r="C128" s="21" t="s">
        <v>270</v>
      </c>
      <c r="D128" s="21"/>
      <c r="E128" s="21" t="str">
        <f t="shared" si="1"/>
        <v>Select ...</v>
      </c>
      <c r="F128" s="21">
        <v>0.5</v>
      </c>
      <c r="G128" s="21">
        <v>0.5</v>
      </c>
      <c r="H128" s="21">
        <f>A23</f>
        <v>17</v>
      </c>
      <c r="I128" s="21">
        <f>A26</f>
        <v>20</v>
      </c>
      <c r="J128" s="21"/>
      <c r="K128" s="21"/>
      <c r="L128" s="21"/>
      <c r="M128" s="21" t="s">
        <v>52</v>
      </c>
      <c r="N128" s="21" t="s">
        <v>53</v>
      </c>
      <c r="O128" s="21" t="s">
        <v>367</v>
      </c>
      <c r="P128" s="21" t="s">
        <v>394</v>
      </c>
      <c r="Q128" s="21" t="s">
        <v>0</v>
      </c>
    </row>
    <row r="129" spans="1:17" x14ac:dyDescent="0.25">
      <c r="A129" s="21">
        <v>123</v>
      </c>
      <c r="B129" s="21" t="s">
        <v>267</v>
      </c>
      <c r="C129" s="21" t="s">
        <v>271</v>
      </c>
      <c r="D129" s="21"/>
      <c r="E129" s="21" t="str">
        <f t="shared" si="1"/>
        <v>Select ...</v>
      </c>
      <c r="F129" s="21">
        <v>0.5</v>
      </c>
      <c r="G129" s="21">
        <v>0.5</v>
      </c>
      <c r="H129" s="21">
        <f>A23</f>
        <v>17</v>
      </c>
      <c r="I129" s="21">
        <f>A26</f>
        <v>20</v>
      </c>
      <c r="J129" s="21"/>
      <c r="K129" s="21"/>
      <c r="L129" s="21"/>
      <c r="M129" s="21" t="s">
        <v>52</v>
      </c>
      <c r="N129" s="21" t="s">
        <v>53</v>
      </c>
      <c r="O129" s="21" t="s">
        <v>367</v>
      </c>
      <c r="P129" s="21" t="s">
        <v>394</v>
      </c>
      <c r="Q129" s="21" t="s">
        <v>0</v>
      </c>
    </row>
    <row r="130" spans="1:17" x14ac:dyDescent="0.25">
      <c r="A130" s="21">
        <v>124</v>
      </c>
      <c r="B130" s="21" t="s">
        <v>267</v>
      </c>
      <c r="C130" s="21" t="s">
        <v>272</v>
      </c>
      <c r="D130" s="21"/>
      <c r="E130" s="21" t="str">
        <f t="shared" si="1"/>
        <v>Select ...</v>
      </c>
      <c r="F130" s="21">
        <v>0.5</v>
      </c>
      <c r="G130" s="21">
        <v>0.5</v>
      </c>
      <c r="H130" s="21">
        <f>A23</f>
        <v>17</v>
      </c>
      <c r="I130" s="21">
        <f>A26</f>
        <v>20</v>
      </c>
      <c r="J130" s="21"/>
      <c r="K130" s="21"/>
      <c r="L130" s="21"/>
      <c r="M130" s="21" t="s">
        <v>52</v>
      </c>
      <c r="N130" s="21" t="s">
        <v>53</v>
      </c>
      <c r="O130" s="21" t="s">
        <v>367</v>
      </c>
      <c r="P130" s="21" t="s">
        <v>394</v>
      </c>
      <c r="Q130" s="21" t="s">
        <v>0</v>
      </c>
    </row>
    <row r="131" spans="1:17" x14ac:dyDescent="0.25">
      <c r="A131" s="21">
        <v>125</v>
      </c>
      <c r="B131" s="21" t="s">
        <v>267</v>
      </c>
      <c r="C131" s="21" t="s">
        <v>330</v>
      </c>
      <c r="D131" s="21"/>
      <c r="E131" s="21" t="str">
        <f t="shared" si="1"/>
        <v>Select ...</v>
      </c>
      <c r="F131" s="21">
        <v>0.5</v>
      </c>
      <c r="G131" s="21">
        <v>0.5</v>
      </c>
      <c r="H131" s="21">
        <f>A23</f>
        <v>17</v>
      </c>
      <c r="I131" s="21">
        <f>A26</f>
        <v>20</v>
      </c>
      <c r="J131" s="21"/>
      <c r="K131" s="21"/>
      <c r="L131" s="21"/>
      <c r="M131" s="21" t="s">
        <v>52</v>
      </c>
      <c r="N131" s="21" t="s">
        <v>53</v>
      </c>
      <c r="O131" s="21" t="s">
        <v>367</v>
      </c>
      <c r="P131" s="21" t="s">
        <v>394</v>
      </c>
      <c r="Q131" s="21" t="s">
        <v>0</v>
      </c>
    </row>
    <row r="132" spans="1:17" x14ac:dyDescent="0.25">
      <c r="A132" s="21">
        <v>126</v>
      </c>
      <c r="B132" s="21" t="s">
        <v>267</v>
      </c>
      <c r="C132" s="21" t="s">
        <v>273</v>
      </c>
      <c r="D132" s="21"/>
      <c r="E132" s="21" t="str">
        <f t="shared" si="1"/>
        <v>Select ...</v>
      </c>
      <c r="F132" s="21">
        <v>0.5</v>
      </c>
      <c r="G132" s="21">
        <v>0.5</v>
      </c>
      <c r="H132" s="21">
        <f>A23</f>
        <v>17</v>
      </c>
      <c r="I132" s="21">
        <f>A26</f>
        <v>20</v>
      </c>
      <c r="J132" s="21"/>
      <c r="K132" s="21"/>
      <c r="L132" s="21"/>
      <c r="M132" s="21" t="s">
        <v>52</v>
      </c>
      <c r="N132" s="21" t="s">
        <v>53</v>
      </c>
      <c r="O132" s="21" t="s">
        <v>367</v>
      </c>
      <c r="P132" s="21" t="s">
        <v>394</v>
      </c>
      <c r="Q132" s="21" t="s">
        <v>0</v>
      </c>
    </row>
    <row r="133" spans="1:17" ht="31.5" x14ac:dyDescent="0.25">
      <c r="A133" s="21">
        <v>127</v>
      </c>
      <c r="B133" s="21" t="s">
        <v>267</v>
      </c>
      <c r="C133" s="21" t="s">
        <v>274</v>
      </c>
      <c r="D133" s="21"/>
      <c r="E133" s="21" t="s">
        <v>7</v>
      </c>
      <c r="F133" s="21">
        <v>0.25</v>
      </c>
      <c r="G133" s="21">
        <v>0</v>
      </c>
      <c r="H133" s="21">
        <f t="shared" ref="H133:H138" si="2">A120</f>
        <v>114</v>
      </c>
      <c r="I133" s="21"/>
      <c r="J133" s="21"/>
      <c r="K133" s="21"/>
      <c r="L133" s="21"/>
      <c r="M133" s="21" t="s">
        <v>52</v>
      </c>
      <c r="N133" s="21" t="s">
        <v>53</v>
      </c>
      <c r="O133" s="21" t="s">
        <v>370</v>
      </c>
      <c r="P133" s="21" t="s">
        <v>394</v>
      </c>
      <c r="Q133" s="21" t="s">
        <v>106</v>
      </c>
    </row>
    <row r="134" spans="1:17" ht="31.5" x14ac:dyDescent="0.25">
      <c r="A134" s="21">
        <v>128</v>
      </c>
      <c r="B134" s="21" t="s">
        <v>267</v>
      </c>
      <c r="C134" s="21" t="s">
        <v>275</v>
      </c>
      <c r="D134" s="21"/>
      <c r="E134" s="21" t="str">
        <f t="shared" si="1"/>
        <v>Select ...</v>
      </c>
      <c r="F134" s="21">
        <v>0.25</v>
      </c>
      <c r="G134" s="21">
        <v>0</v>
      </c>
      <c r="H134" s="21">
        <f t="shared" si="2"/>
        <v>115</v>
      </c>
      <c r="I134" s="21"/>
      <c r="J134" s="21"/>
      <c r="K134" s="21"/>
      <c r="L134" s="21"/>
      <c r="M134" s="21" t="s">
        <v>52</v>
      </c>
      <c r="N134" s="21" t="s">
        <v>53</v>
      </c>
      <c r="O134" s="21" t="s">
        <v>370</v>
      </c>
      <c r="P134" s="21" t="s">
        <v>394</v>
      </c>
      <c r="Q134" s="21" t="s">
        <v>106</v>
      </c>
    </row>
    <row r="135" spans="1:17" ht="31.5" x14ac:dyDescent="0.25">
      <c r="A135" s="21">
        <v>129</v>
      </c>
      <c r="B135" s="21" t="s">
        <v>267</v>
      </c>
      <c r="C135" s="21" t="s">
        <v>276</v>
      </c>
      <c r="D135" s="21"/>
      <c r="E135" s="21" t="s">
        <v>7</v>
      </c>
      <c r="F135" s="21">
        <v>0.25</v>
      </c>
      <c r="G135" s="21">
        <v>0</v>
      </c>
      <c r="H135" s="21">
        <f t="shared" si="2"/>
        <v>116</v>
      </c>
      <c r="I135" s="21"/>
      <c r="J135" s="21"/>
      <c r="K135" s="21"/>
      <c r="L135" s="21"/>
      <c r="M135" s="21" t="s">
        <v>52</v>
      </c>
      <c r="N135" s="21" t="s">
        <v>53</v>
      </c>
      <c r="O135" s="21" t="s">
        <v>370</v>
      </c>
      <c r="P135" s="21" t="s">
        <v>394</v>
      </c>
      <c r="Q135" s="21" t="s">
        <v>146</v>
      </c>
    </row>
    <row r="136" spans="1:17" ht="31.5" x14ac:dyDescent="0.25">
      <c r="A136" s="21">
        <v>130</v>
      </c>
      <c r="B136" s="21" t="s">
        <v>267</v>
      </c>
      <c r="C136" s="21" t="s">
        <v>277</v>
      </c>
      <c r="D136" s="21"/>
      <c r="E136" s="21" t="str">
        <f t="shared" si="1"/>
        <v>Select ...</v>
      </c>
      <c r="F136" s="21">
        <v>0.25</v>
      </c>
      <c r="G136" s="21">
        <v>0</v>
      </c>
      <c r="H136" s="21">
        <f t="shared" si="2"/>
        <v>117</v>
      </c>
      <c r="I136" s="21"/>
      <c r="J136" s="21"/>
      <c r="K136" s="21"/>
      <c r="L136" s="21"/>
      <c r="M136" s="21" t="s">
        <v>52</v>
      </c>
      <c r="N136" s="21" t="s">
        <v>53</v>
      </c>
      <c r="O136" s="21" t="s">
        <v>370</v>
      </c>
      <c r="P136" s="21" t="s">
        <v>394</v>
      </c>
      <c r="Q136" s="21" t="s">
        <v>189</v>
      </c>
    </row>
    <row r="137" spans="1:17" ht="31.5" x14ac:dyDescent="0.25">
      <c r="A137" s="21">
        <v>131</v>
      </c>
      <c r="B137" s="21" t="s">
        <v>267</v>
      </c>
      <c r="C137" s="21" t="s">
        <v>329</v>
      </c>
      <c r="D137" s="21"/>
      <c r="E137" s="21" t="str">
        <f t="shared" si="1"/>
        <v>Select ...</v>
      </c>
      <c r="F137" s="21">
        <v>0.25</v>
      </c>
      <c r="G137" s="21">
        <v>0</v>
      </c>
      <c r="H137" s="21">
        <f t="shared" si="2"/>
        <v>118</v>
      </c>
      <c r="I137" s="21"/>
      <c r="J137" s="21"/>
      <c r="K137" s="21"/>
      <c r="L137" s="21"/>
      <c r="M137" s="21" t="s">
        <v>52</v>
      </c>
      <c r="N137" s="21" t="s">
        <v>53</v>
      </c>
      <c r="O137" s="21" t="s">
        <v>370</v>
      </c>
      <c r="P137" s="21" t="s">
        <v>394</v>
      </c>
      <c r="Q137" s="21" t="s">
        <v>160</v>
      </c>
    </row>
    <row r="138" spans="1:17" ht="31.5" x14ac:dyDescent="0.25">
      <c r="A138" s="21">
        <v>132</v>
      </c>
      <c r="B138" s="21" t="s">
        <v>267</v>
      </c>
      <c r="C138" s="21" t="s">
        <v>278</v>
      </c>
      <c r="D138" s="21"/>
      <c r="E138" s="21" t="str">
        <f t="shared" si="1"/>
        <v>Select ...</v>
      </c>
      <c r="F138" s="21">
        <v>0.25</v>
      </c>
      <c r="G138" s="21">
        <v>0</v>
      </c>
      <c r="H138" s="21">
        <f t="shared" si="2"/>
        <v>119</v>
      </c>
      <c r="I138" s="21"/>
      <c r="J138" s="21"/>
      <c r="K138" s="21"/>
      <c r="L138" s="21"/>
      <c r="M138" s="21" t="s">
        <v>52</v>
      </c>
      <c r="N138" s="21" t="s">
        <v>53</v>
      </c>
      <c r="O138" s="21" t="s">
        <v>370</v>
      </c>
      <c r="P138" s="21" t="s">
        <v>394</v>
      </c>
      <c r="Q138" s="21" t="s">
        <v>405</v>
      </c>
    </row>
    <row r="139" spans="1:17" ht="31.5" x14ac:dyDescent="0.25">
      <c r="A139" s="21">
        <v>133</v>
      </c>
      <c r="B139" s="21" t="s">
        <v>267</v>
      </c>
      <c r="C139" s="21" t="s">
        <v>279</v>
      </c>
      <c r="D139" s="21"/>
      <c r="E139" s="21" t="str">
        <f t="shared" si="1"/>
        <v>Select ...</v>
      </c>
      <c r="F139" s="21">
        <v>0.25</v>
      </c>
      <c r="G139" s="21">
        <v>0</v>
      </c>
      <c r="H139" s="21">
        <f t="shared" ref="H139:H144" si="3">A120</f>
        <v>114</v>
      </c>
      <c r="I139" s="21"/>
      <c r="J139" s="21"/>
      <c r="K139" s="21"/>
      <c r="L139" s="21"/>
      <c r="M139" s="21" t="s">
        <v>52</v>
      </c>
      <c r="N139" s="21" t="s">
        <v>53</v>
      </c>
      <c r="O139" s="21" t="s">
        <v>370</v>
      </c>
      <c r="P139" s="21" t="s">
        <v>394</v>
      </c>
      <c r="Q139" s="21" t="s">
        <v>66</v>
      </c>
    </row>
    <row r="140" spans="1:17" ht="31.5" x14ac:dyDescent="0.25">
      <c r="A140" s="21">
        <v>134</v>
      </c>
      <c r="B140" s="21" t="s">
        <v>267</v>
      </c>
      <c r="C140" s="21" t="s">
        <v>280</v>
      </c>
      <c r="D140" s="21"/>
      <c r="E140" s="21" t="str">
        <f t="shared" si="1"/>
        <v>Select ...</v>
      </c>
      <c r="F140" s="21">
        <v>0.25</v>
      </c>
      <c r="G140" s="21">
        <v>0</v>
      </c>
      <c r="H140" s="21">
        <f t="shared" si="3"/>
        <v>115</v>
      </c>
      <c r="I140" s="21"/>
      <c r="J140" s="21"/>
      <c r="K140" s="21"/>
      <c r="L140" s="21"/>
      <c r="M140" s="21" t="s">
        <v>52</v>
      </c>
      <c r="N140" s="21" t="s">
        <v>53</v>
      </c>
      <c r="O140" s="21" t="s">
        <v>370</v>
      </c>
      <c r="P140" s="21" t="s">
        <v>394</v>
      </c>
      <c r="Q140" s="21" t="s">
        <v>66</v>
      </c>
    </row>
    <row r="141" spans="1:17" ht="31.5" x14ac:dyDescent="0.25">
      <c r="A141" s="21">
        <v>135</v>
      </c>
      <c r="B141" s="21" t="s">
        <v>267</v>
      </c>
      <c r="C141" s="21" t="s">
        <v>281</v>
      </c>
      <c r="D141" s="21"/>
      <c r="E141" s="21" t="str">
        <f t="shared" si="1"/>
        <v>Select ...</v>
      </c>
      <c r="F141" s="21">
        <v>0.25</v>
      </c>
      <c r="G141" s="21">
        <v>0</v>
      </c>
      <c r="H141" s="21">
        <f t="shared" si="3"/>
        <v>116</v>
      </c>
      <c r="I141" s="21"/>
      <c r="J141" s="21"/>
      <c r="K141" s="21"/>
      <c r="L141" s="21"/>
      <c r="M141" s="21" t="s">
        <v>52</v>
      </c>
      <c r="N141" s="21" t="s">
        <v>53</v>
      </c>
      <c r="O141" s="21" t="s">
        <v>370</v>
      </c>
      <c r="P141" s="21" t="s">
        <v>394</v>
      </c>
      <c r="Q141" s="21" t="s">
        <v>66</v>
      </c>
    </row>
    <row r="142" spans="1:17" ht="31.5" x14ac:dyDescent="0.25">
      <c r="A142" s="21">
        <v>136</v>
      </c>
      <c r="B142" s="21" t="s">
        <v>267</v>
      </c>
      <c r="C142" s="21" t="s">
        <v>282</v>
      </c>
      <c r="D142" s="21"/>
      <c r="E142" s="21" t="str">
        <f t="shared" si="1"/>
        <v>Select ...</v>
      </c>
      <c r="F142" s="21">
        <v>0.25</v>
      </c>
      <c r="G142" s="21">
        <v>0</v>
      </c>
      <c r="H142" s="21">
        <f t="shared" si="3"/>
        <v>117</v>
      </c>
      <c r="I142" s="21"/>
      <c r="J142" s="21"/>
      <c r="K142" s="21"/>
      <c r="L142" s="21"/>
      <c r="M142" s="21" t="s">
        <v>52</v>
      </c>
      <c r="N142" s="21" t="s">
        <v>53</v>
      </c>
      <c r="O142" s="21" t="s">
        <v>370</v>
      </c>
      <c r="P142" s="21" t="s">
        <v>394</v>
      </c>
      <c r="Q142" s="21" t="s">
        <v>66</v>
      </c>
    </row>
    <row r="143" spans="1:17" ht="31.5" x14ac:dyDescent="0.25">
      <c r="A143" s="21">
        <v>137</v>
      </c>
      <c r="B143" s="21" t="s">
        <v>267</v>
      </c>
      <c r="C143" s="21" t="s">
        <v>332</v>
      </c>
      <c r="D143" s="21"/>
      <c r="E143" s="21" t="str">
        <f t="shared" si="1"/>
        <v>Select ...</v>
      </c>
      <c r="F143" s="21">
        <v>0.25</v>
      </c>
      <c r="G143" s="21">
        <v>0</v>
      </c>
      <c r="H143" s="21">
        <f t="shared" si="3"/>
        <v>118</v>
      </c>
      <c r="I143" s="21"/>
      <c r="J143" s="21"/>
      <c r="K143" s="21"/>
      <c r="L143" s="21"/>
      <c r="M143" s="21" t="s">
        <v>52</v>
      </c>
      <c r="N143" s="21" t="s">
        <v>53</v>
      </c>
      <c r="O143" s="21" t="s">
        <v>370</v>
      </c>
      <c r="P143" s="21" t="s">
        <v>394</v>
      </c>
      <c r="Q143" s="21" t="s">
        <v>66</v>
      </c>
    </row>
    <row r="144" spans="1:17" ht="31.5" x14ac:dyDescent="0.25">
      <c r="A144" s="21">
        <v>138</v>
      </c>
      <c r="B144" s="21" t="s">
        <v>267</v>
      </c>
      <c r="C144" s="21" t="s">
        <v>333</v>
      </c>
      <c r="D144" s="21"/>
      <c r="E144" s="21" t="str">
        <f t="shared" si="1"/>
        <v>Select ...</v>
      </c>
      <c r="F144" s="21">
        <v>0.25</v>
      </c>
      <c r="G144" s="21">
        <v>0</v>
      </c>
      <c r="H144" s="21">
        <f t="shared" si="3"/>
        <v>119</v>
      </c>
      <c r="I144" s="21"/>
      <c r="J144" s="21"/>
      <c r="K144" s="21"/>
      <c r="L144" s="21"/>
      <c r="M144" s="21" t="s">
        <v>52</v>
      </c>
      <c r="N144" s="21" t="s">
        <v>53</v>
      </c>
      <c r="O144" s="21" t="s">
        <v>370</v>
      </c>
      <c r="P144" s="21" t="s">
        <v>394</v>
      </c>
      <c r="Q144" s="21" t="s">
        <v>66</v>
      </c>
    </row>
    <row r="145" spans="1:17" ht="31.5" x14ac:dyDescent="0.25">
      <c r="A145" s="21">
        <v>139</v>
      </c>
      <c r="B145" s="21" t="s">
        <v>267</v>
      </c>
      <c r="C145" s="21" t="s">
        <v>334</v>
      </c>
      <c r="D145" s="21"/>
      <c r="E145" s="21" t="str">
        <f t="shared" ref="E145:E162" si="4">IF(D145="","Select ...")</f>
        <v>Select ...</v>
      </c>
      <c r="F145" s="21">
        <v>1</v>
      </c>
      <c r="G145" s="21">
        <v>1</v>
      </c>
      <c r="H145" s="21">
        <f>A127</f>
        <v>121</v>
      </c>
      <c r="I145" s="21">
        <f>A133</f>
        <v>127</v>
      </c>
      <c r="J145" s="21">
        <f>A139</f>
        <v>133</v>
      </c>
      <c r="K145" s="21"/>
      <c r="L145" s="21"/>
      <c r="M145" s="21" t="s">
        <v>52</v>
      </c>
      <c r="N145" s="21" t="s">
        <v>53</v>
      </c>
      <c r="O145" s="21" t="s">
        <v>394</v>
      </c>
      <c r="P145" s="21" t="s">
        <v>395</v>
      </c>
      <c r="Q145" s="21" t="s">
        <v>343</v>
      </c>
    </row>
    <row r="146" spans="1:17" x14ac:dyDescent="0.25">
      <c r="A146" s="21">
        <v>140</v>
      </c>
      <c r="B146" s="21" t="s">
        <v>267</v>
      </c>
      <c r="C146" s="21" t="s">
        <v>335</v>
      </c>
      <c r="D146" s="21"/>
      <c r="E146" s="21" t="s">
        <v>7</v>
      </c>
      <c r="F146" s="21">
        <v>1</v>
      </c>
      <c r="G146" s="21">
        <v>0.5</v>
      </c>
      <c r="H146" s="21">
        <f>A127</f>
        <v>121</v>
      </c>
      <c r="I146" s="21">
        <f>A133</f>
        <v>127</v>
      </c>
      <c r="J146" s="21">
        <f>A139</f>
        <v>133</v>
      </c>
      <c r="K146" s="21">
        <f>A135</f>
        <v>129</v>
      </c>
      <c r="L146" s="21"/>
      <c r="M146" s="21" t="s">
        <v>52</v>
      </c>
      <c r="N146" s="21" t="s">
        <v>53</v>
      </c>
      <c r="O146" s="21" t="s">
        <v>394</v>
      </c>
      <c r="P146" s="21" t="s">
        <v>395</v>
      </c>
      <c r="Q146" s="21" t="s">
        <v>2</v>
      </c>
    </row>
    <row r="147" spans="1:17" ht="31.5" x14ac:dyDescent="0.25">
      <c r="A147" s="21">
        <v>141</v>
      </c>
      <c r="B147" s="21" t="s">
        <v>267</v>
      </c>
      <c r="C147" s="21" t="s">
        <v>338</v>
      </c>
      <c r="D147" s="21"/>
      <c r="E147" s="21" t="str">
        <f t="shared" si="4"/>
        <v>Select ...</v>
      </c>
      <c r="F147" s="21">
        <v>0.5</v>
      </c>
      <c r="G147" s="21">
        <v>0.25</v>
      </c>
      <c r="H147" s="21">
        <f>A145</f>
        <v>139</v>
      </c>
      <c r="I147" s="21">
        <f>A146</f>
        <v>140</v>
      </c>
      <c r="J147" s="21"/>
      <c r="K147" s="21"/>
      <c r="L147" s="21"/>
      <c r="M147" s="21" t="s">
        <v>52</v>
      </c>
      <c r="N147" s="21" t="s">
        <v>53</v>
      </c>
      <c r="O147" s="21" t="s">
        <v>395</v>
      </c>
      <c r="P147" s="21" t="s">
        <v>395</v>
      </c>
      <c r="Q147" s="21" t="s">
        <v>2</v>
      </c>
    </row>
    <row r="148" spans="1:17" ht="31.5" x14ac:dyDescent="0.25">
      <c r="A148" s="21">
        <v>142</v>
      </c>
      <c r="B148" s="21" t="s">
        <v>267</v>
      </c>
      <c r="C148" s="21" t="s">
        <v>336</v>
      </c>
      <c r="D148" s="21"/>
      <c r="E148" s="21" t="str">
        <f t="shared" si="4"/>
        <v>Select ...</v>
      </c>
      <c r="F148" s="21">
        <v>2</v>
      </c>
      <c r="G148" s="21">
        <v>1.5</v>
      </c>
      <c r="H148" s="21">
        <f>A147</f>
        <v>141</v>
      </c>
      <c r="I148" s="21"/>
      <c r="J148" s="21"/>
      <c r="K148" s="21"/>
      <c r="L148" s="21"/>
      <c r="M148" s="21" t="s">
        <v>52</v>
      </c>
      <c r="N148" s="21" t="s">
        <v>383</v>
      </c>
      <c r="O148" s="21" t="s">
        <v>395</v>
      </c>
      <c r="P148" s="21" t="s">
        <v>392</v>
      </c>
      <c r="Q148" s="21" t="s">
        <v>343</v>
      </c>
    </row>
    <row r="149" spans="1:17" ht="31.5" x14ac:dyDescent="0.25">
      <c r="A149" s="21">
        <v>143</v>
      </c>
      <c r="B149" s="21" t="s">
        <v>267</v>
      </c>
      <c r="C149" s="21" t="s">
        <v>337</v>
      </c>
      <c r="D149" s="21"/>
      <c r="E149" s="21" t="s">
        <v>7</v>
      </c>
      <c r="F149" s="21">
        <v>1</v>
      </c>
      <c r="G149" s="21">
        <v>0.5</v>
      </c>
      <c r="H149" s="21">
        <f>A146</f>
        <v>140</v>
      </c>
      <c r="I149" s="21">
        <f>A147</f>
        <v>141</v>
      </c>
      <c r="J149" s="21"/>
      <c r="K149" s="21"/>
      <c r="L149" s="21"/>
      <c r="M149" s="21" t="s">
        <v>52</v>
      </c>
      <c r="N149" s="21" t="s">
        <v>383</v>
      </c>
      <c r="O149" s="21" t="s">
        <v>395</v>
      </c>
      <c r="P149" s="21" t="s">
        <v>392</v>
      </c>
      <c r="Q149" s="21" t="s">
        <v>2</v>
      </c>
    </row>
    <row r="150" spans="1:17" ht="47.25" x14ac:dyDescent="0.25">
      <c r="A150" s="21">
        <v>144</v>
      </c>
      <c r="B150" s="21" t="s">
        <v>283</v>
      </c>
      <c r="C150" s="21" t="s">
        <v>284</v>
      </c>
      <c r="D150" s="21"/>
      <c r="E150" s="21" t="str">
        <f t="shared" si="4"/>
        <v>Select ...</v>
      </c>
      <c r="F150" s="21">
        <v>1</v>
      </c>
      <c r="G150" s="21">
        <v>0.5</v>
      </c>
      <c r="H150" s="21" t="str">
        <f>A6</f>
        <v>INIT</v>
      </c>
      <c r="I150" s="21"/>
      <c r="J150" s="21"/>
      <c r="K150" s="21"/>
      <c r="L150" s="21"/>
      <c r="M150" s="21" t="s">
        <v>52</v>
      </c>
      <c r="N150" s="21" t="s">
        <v>59</v>
      </c>
      <c r="O150" s="21" t="s">
        <v>356</v>
      </c>
      <c r="P150" s="21" t="s">
        <v>396</v>
      </c>
      <c r="Q150" s="21" t="s">
        <v>2</v>
      </c>
    </row>
    <row r="151" spans="1:17" ht="47.25" x14ac:dyDescent="0.25">
      <c r="A151" s="21">
        <v>145</v>
      </c>
      <c r="B151" s="21" t="s">
        <v>283</v>
      </c>
      <c r="C151" s="21" t="s">
        <v>285</v>
      </c>
      <c r="D151" s="21"/>
      <c r="E151" s="21" t="str">
        <f t="shared" si="4"/>
        <v>Select ...</v>
      </c>
      <c r="F151" s="21">
        <v>3</v>
      </c>
      <c r="G151" s="21">
        <v>3</v>
      </c>
      <c r="H151" s="21">
        <f>A150</f>
        <v>144</v>
      </c>
      <c r="I151" s="21"/>
      <c r="J151" s="21"/>
      <c r="K151" s="21"/>
      <c r="L151" s="21"/>
      <c r="M151" s="21" t="s">
        <v>52</v>
      </c>
      <c r="N151" s="21" t="s">
        <v>59</v>
      </c>
      <c r="O151" s="21" t="s">
        <v>356</v>
      </c>
      <c r="P151" s="21" t="s">
        <v>396</v>
      </c>
      <c r="Q151" s="21" t="s">
        <v>2</v>
      </c>
    </row>
    <row r="152" spans="1:17" ht="47.25" x14ac:dyDescent="0.25">
      <c r="A152" s="21">
        <v>146</v>
      </c>
      <c r="B152" s="21" t="s">
        <v>283</v>
      </c>
      <c r="C152" s="21" t="s">
        <v>286</v>
      </c>
      <c r="D152" s="21"/>
      <c r="E152" s="21" t="str">
        <f t="shared" si="4"/>
        <v>Select ...</v>
      </c>
      <c r="F152" s="21">
        <v>3</v>
      </c>
      <c r="G152" s="21">
        <v>2.5</v>
      </c>
      <c r="H152" s="21">
        <f>A150</f>
        <v>144</v>
      </c>
      <c r="I152" s="21"/>
      <c r="J152" s="21"/>
      <c r="K152" s="21"/>
      <c r="L152" s="21"/>
      <c r="M152" s="21" t="s">
        <v>52</v>
      </c>
      <c r="N152" s="21" t="s">
        <v>59</v>
      </c>
      <c r="O152" s="21" t="s">
        <v>356</v>
      </c>
      <c r="P152" s="21" t="s">
        <v>396</v>
      </c>
      <c r="Q152" s="21" t="s">
        <v>2</v>
      </c>
    </row>
    <row r="153" spans="1:17" ht="47.25" x14ac:dyDescent="0.25">
      <c r="A153" s="21">
        <v>147</v>
      </c>
      <c r="B153" s="21" t="s">
        <v>283</v>
      </c>
      <c r="C153" s="21" t="s">
        <v>287</v>
      </c>
      <c r="D153" s="21"/>
      <c r="E153" s="21" t="str">
        <f t="shared" si="4"/>
        <v>Select ...</v>
      </c>
      <c r="F153" s="21">
        <v>2</v>
      </c>
      <c r="G153" s="21">
        <v>1.5</v>
      </c>
      <c r="H153" s="21">
        <f>A150</f>
        <v>144</v>
      </c>
      <c r="I153" s="21"/>
      <c r="J153" s="21"/>
      <c r="K153" s="21"/>
      <c r="L153" s="21"/>
      <c r="M153" s="21" t="s">
        <v>52</v>
      </c>
      <c r="N153" s="21" t="s">
        <v>59</v>
      </c>
      <c r="O153" s="21" t="s">
        <v>356</v>
      </c>
      <c r="P153" s="21" t="s">
        <v>396</v>
      </c>
      <c r="Q153" s="21" t="s">
        <v>2</v>
      </c>
    </row>
    <row r="154" spans="1:17" ht="47.25" x14ac:dyDescent="0.25">
      <c r="A154" s="21">
        <v>148</v>
      </c>
      <c r="B154" s="21" t="s">
        <v>283</v>
      </c>
      <c r="C154" s="21" t="s">
        <v>288</v>
      </c>
      <c r="D154" s="21"/>
      <c r="E154" s="21" t="str">
        <f t="shared" si="4"/>
        <v>Select ...</v>
      </c>
      <c r="F154" s="21">
        <v>1.5</v>
      </c>
      <c r="G154" s="21">
        <v>1</v>
      </c>
      <c r="H154" s="21">
        <f>149</f>
        <v>149</v>
      </c>
      <c r="I154" s="21"/>
      <c r="J154" s="21"/>
      <c r="K154" s="21"/>
      <c r="L154" s="21"/>
      <c r="M154" s="21" t="s">
        <v>52</v>
      </c>
      <c r="N154" s="21" t="s">
        <v>59</v>
      </c>
      <c r="O154" s="21" t="s">
        <v>356</v>
      </c>
      <c r="P154" s="21" t="s">
        <v>396</v>
      </c>
      <c r="Q154" s="21" t="s">
        <v>2</v>
      </c>
    </row>
    <row r="155" spans="1:17" ht="47.25" x14ac:dyDescent="0.25">
      <c r="A155" s="21">
        <v>149</v>
      </c>
      <c r="B155" s="21" t="s">
        <v>283</v>
      </c>
      <c r="C155" s="21" t="s">
        <v>289</v>
      </c>
      <c r="D155" s="21"/>
      <c r="E155" s="21" t="str">
        <f t="shared" si="4"/>
        <v>Select ...</v>
      </c>
      <c r="F155" s="21">
        <v>0.5</v>
      </c>
      <c r="G155" s="21">
        <v>0.5</v>
      </c>
      <c r="H155" s="21">
        <f>A111</f>
        <v>105</v>
      </c>
      <c r="I155" s="21">
        <f>A112</f>
        <v>106</v>
      </c>
      <c r="J155" s="21"/>
      <c r="K155" s="21"/>
      <c r="L155" s="21"/>
      <c r="M155" s="21" t="s">
        <v>52</v>
      </c>
      <c r="N155" s="21" t="s">
        <v>383</v>
      </c>
      <c r="O155" s="21" t="s">
        <v>396</v>
      </c>
      <c r="P155" s="21" t="s">
        <v>386</v>
      </c>
      <c r="Q155" s="21" t="s">
        <v>86</v>
      </c>
    </row>
    <row r="156" spans="1:17" ht="47.25" x14ac:dyDescent="0.25">
      <c r="A156" s="21">
        <v>150</v>
      </c>
      <c r="B156" s="21" t="s">
        <v>283</v>
      </c>
      <c r="C156" s="21" t="s">
        <v>290</v>
      </c>
      <c r="D156" s="21"/>
      <c r="E156" s="21" t="str">
        <f t="shared" si="4"/>
        <v>Select ...</v>
      </c>
      <c r="F156" s="21">
        <v>0.5</v>
      </c>
      <c r="G156" s="21">
        <v>0.25</v>
      </c>
      <c r="H156" s="21">
        <f>A111</f>
        <v>105</v>
      </c>
      <c r="I156" s="21">
        <f>A112</f>
        <v>106</v>
      </c>
      <c r="J156" s="21"/>
      <c r="K156" s="21"/>
      <c r="L156" s="21"/>
      <c r="M156" s="21" t="s">
        <v>52</v>
      </c>
      <c r="N156" s="21" t="s">
        <v>383</v>
      </c>
      <c r="O156" s="21" t="s">
        <v>396</v>
      </c>
      <c r="P156" s="21" t="s">
        <v>386</v>
      </c>
      <c r="Q156" s="21" t="s">
        <v>118</v>
      </c>
    </row>
    <row r="157" spans="1:17" ht="47.25" x14ac:dyDescent="0.25">
      <c r="A157" s="21">
        <v>151</v>
      </c>
      <c r="B157" s="21" t="s">
        <v>283</v>
      </c>
      <c r="C157" s="21" t="s">
        <v>291</v>
      </c>
      <c r="D157" s="21"/>
      <c r="E157" s="21" t="str">
        <f t="shared" si="4"/>
        <v>Select ...</v>
      </c>
      <c r="F157" s="21">
        <v>0.25</v>
      </c>
      <c r="G157" s="21">
        <v>0.25</v>
      </c>
      <c r="H157" s="21">
        <f>A111</f>
        <v>105</v>
      </c>
      <c r="I157" s="21">
        <f>A112</f>
        <v>106</v>
      </c>
      <c r="J157" s="21"/>
      <c r="K157" s="21"/>
      <c r="L157" s="21"/>
      <c r="M157" s="21" t="s">
        <v>52</v>
      </c>
      <c r="N157" s="21" t="s">
        <v>383</v>
      </c>
      <c r="O157" s="21" t="s">
        <v>396</v>
      </c>
      <c r="P157" s="21" t="s">
        <v>386</v>
      </c>
      <c r="Q157" s="21" t="s">
        <v>118</v>
      </c>
    </row>
    <row r="158" spans="1:17" ht="47.25" x14ac:dyDescent="0.25">
      <c r="A158" s="21">
        <v>152</v>
      </c>
      <c r="B158" s="21" t="s">
        <v>283</v>
      </c>
      <c r="C158" s="21" t="s">
        <v>292</v>
      </c>
      <c r="D158" s="21"/>
      <c r="E158" s="21" t="str">
        <f t="shared" si="4"/>
        <v>Select ...</v>
      </c>
      <c r="F158" s="21">
        <v>0.5</v>
      </c>
      <c r="G158" s="21">
        <v>0.5</v>
      </c>
      <c r="H158" s="21">
        <f>A155</f>
        <v>149</v>
      </c>
      <c r="I158" s="21"/>
      <c r="J158" s="21"/>
      <c r="K158" s="21"/>
      <c r="L158" s="21"/>
      <c r="M158" s="21" t="s">
        <v>52</v>
      </c>
      <c r="N158" s="21" t="s">
        <v>55</v>
      </c>
      <c r="O158" s="21" t="s">
        <v>386</v>
      </c>
      <c r="P158" s="21" t="s">
        <v>386</v>
      </c>
      <c r="Q158" s="21" t="s">
        <v>86</v>
      </c>
    </row>
    <row r="159" spans="1:17" ht="47.25" x14ac:dyDescent="0.25">
      <c r="A159" s="21">
        <v>153</v>
      </c>
      <c r="B159" s="21" t="s">
        <v>283</v>
      </c>
      <c r="C159" s="21" t="s">
        <v>293</v>
      </c>
      <c r="D159" s="21"/>
      <c r="E159" s="21" t="str">
        <f t="shared" si="4"/>
        <v>Select ...</v>
      </c>
      <c r="F159" s="21">
        <v>0.25</v>
      </c>
      <c r="G159" s="21">
        <v>0.25</v>
      </c>
      <c r="H159" s="21">
        <f>A156</f>
        <v>150</v>
      </c>
      <c r="I159" s="21">
        <f>A157</f>
        <v>151</v>
      </c>
      <c r="J159" s="21"/>
      <c r="K159" s="21"/>
      <c r="L159" s="21"/>
      <c r="M159" s="21" t="s">
        <v>52</v>
      </c>
      <c r="N159" s="21" t="s">
        <v>55</v>
      </c>
      <c r="O159" s="21" t="s">
        <v>386</v>
      </c>
      <c r="P159" s="21" t="s">
        <v>386</v>
      </c>
      <c r="Q159" s="21" t="s">
        <v>118</v>
      </c>
    </row>
    <row r="160" spans="1:17" ht="47.25" x14ac:dyDescent="0.25">
      <c r="A160" s="21">
        <v>154</v>
      </c>
      <c r="B160" s="21" t="s">
        <v>283</v>
      </c>
      <c r="C160" s="21" t="s">
        <v>294</v>
      </c>
      <c r="D160" s="21"/>
      <c r="E160" s="21" t="str">
        <f t="shared" si="4"/>
        <v>Select ...</v>
      </c>
      <c r="F160" s="21">
        <v>1</v>
      </c>
      <c r="G160" s="21">
        <v>1</v>
      </c>
      <c r="H160" s="21">
        <f>A148</f>
        <v>142</v>
      </c>
      <c r="I160" s="21">
        <f>A149</f>
        <v>143</v>
      </c>
      <c r="J160" s="21">
        <f>A158</f>
        <v>152</v>
      </c>
      <c r="K160" s="21">
        <f>A159</f>
        <v>153</v>
      </c>
      <c r="L160" s="21"/>
      <c r="M160" s="21" t="s">
        <v>52</v>
      </c>
      <c r="N160" s="21" t="s">
        <v>55</v>
      </c>
      <c r="O160" s="21" t="s">
        <v>386</v>
      </c>
      <c r="P160" s="21" t="s">
        <v>392</v>
      </c>
      <c r="Q160" s="21" t="s">
        <v>410</v>
      </c>
    </row>
    <row r="161" spans="1:17" ht="47.25" x14ac:dyDescent="0.25">
      <c r="A161" s="21">
        <v>155</v>
      </c>
      <c r="B161" s="21" t="s">
        <v>283</v>
      </c>
      <c r="C161" s="21" t="s">
        <v>295</v>
      </c>
      <c r="D161" s="21"/>
      <c r="E161" s="21" t="s">
        <v>7</v>
      </c>
      <c r="F161" s="21">
        <v>1</v>
      </c>
      <c r="G161" s="21">
        <v>0.5</v>
      </c>
      <c r="H161" s="21">
        <f>A148</f>
        <v>142</v>
      </c>
      <c r="I161" s="21">
        <f>A149</f>
        <v>143</v>
      </c>
      <c r="J161" s="21">
        <f>A158</f>
        <v>152</v>
      </c>
      <c r="K161" s="21">
        <f>A159</f>
        <v>153</v>
      </c>
      <c r="L161" s="21"/>
      <c r="M161" s="21" t="s">
        <v>52</v>
      </c>
      <c r="N161" s="21" t="s">
        <v>55</v>
      </c>
      <c r="O161" s="21" t="s">
        <v>386</v>
      </c>
      <c r="P161" s="21" t="s">
        <v>392</v>
      </c>
      <c r="Q161" s="21" t="s">
        <v>82</v>
      </c>
    </row>
    <row r="162" spans="1:17" ht="47.25" x14ac:dyDescent="0.25">
      <c r="A162" s="21">
        <v>156</v>
      </c>
      <c r="B162" s="21" t="s">
        <v>283</v>
      </c>
      <c r="C162" s="21" t="s">
        <v>296</v>
      </c>
      <c r="D162" s="21"/>
      <c r="E162" s="21" t="str">
        <f t="shared" si="4"/>
        <v>Select ...</v>
      </c>
      <c r="F162" s="21">
        <v>0.5</v>
      </c>
      <c r="G162" s="21">
        <v>0.25</v>
      </c>
      <c r="H162" s="21">
        <f>A74</f>
        <v>68</v>
      </c>
      <c r="I162" s="21">
        <f>A75</f>
        <v>69</v>
      </c>
      <c r="J162" s="21">
        <f>A148</f>
        <v>142</v>
      </c>
      <c r="K162" s="21">
        <f>A158</f>
        <v>152</v>
      </c>
      <c r="L162" s="21"/>
      <c r="M162" s="21" t="s">
        <v>52</v>
      </c>
      <c r="N162" s="21" t="s">
        <v>55</v>
      </c>
      <c r="O162" s="21" t="s">
        <v>386</v>
      </c>
      <c r="P162" s="21" t="s">
        <v>392</v>
      </c>
      <c r="Q162" s="21" t="s">
        <v>408</v>
      </c>
    </row>
    <row r="163" spans="1:17" s="25" customFormat="1" ht="31.5" hidden="1" x14ac:dyDescent="0.25">
      <c r="A163" s="26"/>
      <c r="B163" s="26" t="s">
        <v>428</v>
      </c>
      <c r="C163" s="26"/>
      <c r="D163" s="26"/>
      <c r="E163" s="26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</row>
  </sheetData>
  <conditionalFormatting sqref="F7:J86 F88:J162 Q126 M7:P162 Q89:Q93 Q160:Q162 Q7:Q86 Q100:Q101 Q103:Q107 Q111:Q114">
    <cfRule type="expression" dxfId="288" priority="1035">
      <formula>$E$7&lt;&gt;"Yes"</formula>
    </cfRule>
  </conditionalFormatting>
  <conditionalFormatting sqref="G7">
    <cfRule type="expression" dxfId="287" priority="1034">
      <formula>$E$7&lt;&gt;"Yes"</formula>
    </cfRule>
  </conditionalFormatting>
  <conditionalFormatting sqref="F7:J86 F88:J162 Q126 M7:P162 Q89:Q93 Q160:Q162 Q7:Q86 Q100:Q101 Q103:Q107 Q111:Q114">
    <cfRule type="expression" dxfId="286" priority="1033">
      <formula>$E7&lt;&gt;"Yes"</formula>
    </cfRule>
  </conditionalFormatting>
  <conditionalFormatting sqref="G8">
    <cfRule type="expression" dxfId="285" priority="1031">
      <formula>$E$7&lt;&gt;"Yes"</formula>
    </cfRule>
  </conditionalFormatting>
  <conditionalFormatting sqref="G9:G14">
    <cfRule type="expression" dxfId="284" priority="1028">
      <formula>$E$7&lt;&gt;"Yes"</formula>
    </cfRule>
  </conditionalFormatting>
  <conditionalFormatting sqref="G15:G86 G88:G162">
    <cfRule type="expression" dxfId="283" priority="1025">
      <formula>$E$7&lt;&gt;"Yes"</formula>
    </cfRule>
  </conditionalFormatting>
  <conditionalFormatting sqref="K7:L86 K88:L162">
    <cfRule type="expression" dxfId="282" priority="1023">
      <formula>$E$7&lt;&gt;"Yes"</formula>
    </cfRule>
  </conditionalFormatting>
  <conditionalFormatting sqref="K7:L86 K88:L162">
    <cfRule type="expression" dxfId="281" priority="1022">
      <formula>$E7&lt;&gt;"Yes"</formula>
    </cfRule>
  </conditionalFormatting>
  <conditionalFormatting sqref="F87:J87">
    <cfRule type="expression" dxfId="280" priority="1021">
      <formula>$E$7&lt;&gt;"Yes"</formula>
    </cfRule>
  </conditionalFormatting>
  <conditionalFormatting sqref="F87:J87">
    <cfRule type="expression" dxfId="279" priority="1020">
      <formula>$E87&lt;&gt;"Yes"</formula>
    </cfRule>
  </conditionalFormatting>
  <conditionalFormatting sqref="G87">
    <cfRule type="expression" dxfId="278" priority="1019">
      <formula>$E$7&lt;&gt;"Yes"</formula>
    </cfRule>
  </conditionalFormatting>
  <conditionalFormatting sqref="K87:L87">
    <cfRule type="expression" dxfId="277" priority="1018">
      <formula>$E$7&lt;&gt;"Yes"</formula>
    </cfRule>
  </conditionalFormatting>
  <conditionalFormatting sqref="K87:L87">
    <cfRule type="expression" dxfId="276" priority="1017">
      <formula>$E87&lt;&gt;"Yes"</formula>
    </cfRule>
  </conditionalFormatting>
  <conditionalFormatting sqref="Q95">
    <cfRule type="expression" dxfId="275" priority="998">
      <formula>$E$7&lt;&gt;"Yes"</formula>
    </cfRule>
  </conditionalFormatting>
  <conditionalFormatting sqref="Q95">
    <cfRule type="expression" dxfId="274" priority="997">
      <formula>$E95&lt;&gt;"Yes"</formula>
    </cfRule>
  </conditionalFormatting>
  <conditionalFormatting sqref="Q96">
    <cfRule type="expression" dxfId="273" priority="994">
      <formula>$E$7&lt;&gt;"Yes"</formula>
    </cfRule>
  </conditionalFormatting>
  <conditionalFormatting sqref="Q96">
    <cfRule type="expression" dxfId="272" priority="993">
      <formula>$E96&lt;&gt;"Yes"</formula>
    </cfRule>
  </conditionalFormatting>
  <conditionalFormatting sqref="Q97">
    <cfRule type="expression" dxfId="271" priority="990">
      <formula>$E$7&lt;&gt;"Yes"</formula>
    </cfRule>
  </conditionalFormatting>
  <conditionalFormatting sqref="Q97">
    <cfRule type="expression" dxfId="270" priority="989">
      <formula>$E97&lt;&gt;"Yes"</formula>
    </cfRule>
  </conditionalFormatting>
  <conditionalFormatting sqref="Q98">
    <cfRule type="expression" dxfId="269" priority="986">
      <formula>$E$7&lt;&gt;"Yes"</formula>
    </cfRule>
  </conditionalFormatting>
  <conditionalFormatting sqref="Q98">
    <cfRule type="expression" dxfId="268" priority="985">
      <formula>$E98&lt;&gt;"Yes"</formula>
    </cfRule>
  </conditionalFormatting>
  <conditionalFormatting sqref="Q109">
    <cfRule type="expression" dxfId="267" priority="970">
      <formula>$E$7&lt;&gt;"Yes"</formula>
    </cfRule>
  </conditionalFormatting>
  <conditionalFormatting sqref="Q109">
    <cfRule type="expression" dxfId="266" priority="969">
      <formula>$E109&lt;&gt;"Yes"</formula>
    </cfRule>
  </conditionalFormatting>
  <conditionalFormatting sqref="Q119">
    <cfRule type="expression" dxfId="265" priority="950">
      <formula>$E$7&lt;&gt;"Yes"</formula>
    </cfRule>
  </conditionalFormatting>
  <conditionalFormatting sqref="Q119">
    <cfRule type="expression" dxfId="264" priority="949">
      <formula>$E119&lt;&gt;"Yes"</formula>
    </cfRule>
  </conditionalFormatting>
  <conditionalFormatting sqref="Q118">
    <cfRule type="expression" dxfId="263" priority="948">
      <formula>$E$7&lt;&gt;"Yes"</formula>
    </cfRule>
  </conditionalFormatting>
  <conditionalFormatting sqref="Q118">
    <cfRule type="expression" dxfId="262" priority="947">
      <formula>$E118&lt;&gt;"Yes"</formula>
    </cfRule>
  </conditionalFormatting>
  <conditionalFormatting sqref="Q87:Q88">
    <cfRule type="expression" dxfId="261" priority="538">
      <formula>$E$7&lt;&gt;"Yes"</formula>
    </cfRule>
  </conditionalFormatting>
  <conditionalFormatting sqref="Q87:Q88">
    <cfRule type="expression" dxfId="260" priority="537">
      <formula>$E87&lt;&gt;"Yes"</formula>
    </cfRule>
  </conditionalFormatting>
  <conditionalFormatting sqref="Q94">
    <cfRule type="expression" dxfId="259" priority="536">
      <formula>$E$7&lt;&gt;"Yes"</formula>
    </cfRule>
  </conditionalFormatting>
  <conditionalFormatting sqref="Q94">
    <cfRule type="expression" dxfId="258" priority="535">
      <formula>$E94&lt;&gt;"Yes"</formula>
    </cfRule>
  </conditionalFormatting>
  <conditionalFormatting sqref="Q99">
    <cfRule type="expression" dxfId="257" priority="534">
      <formula>$E$7&lt;&gt;"Yes"</formula>
    </cfRule>
  </conditionalFormatting>
  <conditionalFormatting sqref="Q99">
    <cfRule type="expression" dxfId="256" priority="533">
      <formula>$E99&lt;&gt;"Yes"</formula>
    </cfRule>
  </conditionalFormatting>
  <conditionalFormatting sqref="Q102">
    <cfRule type="expression" dxfId="255" priority="532">
      <formula>$E$7&lt;&gt;"Yes"</formula>
    </cfRule>
  </conditionalFormatting>
  <conditionalFormatting sqref="Q102">
    <cfRule type="expression" dxfId="254" priority="531">
      <formula>$E102&lt;&gt;"Yes"</formula>
    </cfRule>
  </conditionalFormatting>
  <conditionalFormatting sqref="Q108">
    <cfRule type="expression" dxfId="253" priority="530">
      <formula>$E$7&lt;&gt;"Yes"</formula>
    </cfRule>
  </conditionalFormatting>
  <conditionalFormatting sqref="Q108">
    <cfRule type="expression" dxfId="252" priority="529">
      <formula>$E108&lt;&gt;"Yes"</formula>
    </cfRule>
  </conditionalFormatting>
  <conditionalFormatting sqref="Q110">
    <cfRule type="expression" dxfId="251" priority="528">
      <formula>$E$7&lt;&gt;"Yes"</formula>
    </cfRule>
  </conditionalFormatting>
  <conditionalFormatting sqref="Q110">
    <cfRule type="expression" dxfId="250" priority="527">
      <formula>$E110&lt;&gt;"Yes"</formula>
    </cfRule>
  </conditionalFormatting>
  <conditionalFormatting sqref="Q115">
    <cfRule type="expression" dxfId="249" priority="526">
      <formula>$E$7&lt;&gt;"Yes"</formula>
    </cfRule>
  </conditionalFormatting>
  <conditionalFormatting sqref="Q115">
    <cfRule type="expression" dxfId="248" priority="525">
      <formula>$E115&lt;&gt;"Yes"</formula>
    </cfRule>
  </conditionalFormatting>
  <conditionalFormatting sqref="Q116">
    <cfRule type="expression" dxfId="247" priority="524">
      <formula>$E$7&lt;&gt;"Yes"</formula>
    </cfRule>
  </conditionalFormatting>
  <conditionalFormatting sqref="Q116">
    <cfRule type="expression" dxfId="246" priority="523">
      <formula>$E116&lt;&gt;"Yes"</formula>
    </cfRule>
  </conditionalFormatting>
  <conditionalFormatting sqref="Q117">
    <cfRule type="expression" dxfId="245" priority="522">
      <formula>$E$7&lt;&gt;"Yes"</formula>
    </cfRule>
  </conditionalFormatting>
  <conditionalFormatting sqref="Q117">
    <cfRule type="expression" dxfId="244" priority="521">
      <formula>$E117&lt;&gt;"Yes"</formula>
    </cfRule>
  </conditionalFormatting>
  <conditionalFormatting sqref="Q120">
    <cfRule type="expression" dxfId="243" priority="520">
      <formula>$E$7&lt;&gt;"Yes"</formula>
    </cfRule>
  </conditionalFormatting>
  <conditionalFormatting sqref="Q120">
    <cfRule type="expression" dxfId="242" priority="519">
      <formula>$E120&lt;&gt;"Yes"</formula>
    </cfRule>
  </conditionalFormatting>
  <conditionalFormatting sqref="Q121">
    <cfRule type="expression" dxfId="241" priority="518">
      <formula>$E$7&lt;&gt;"Yes"</formula>
    </cfRule>
  </conditionalFormatting>
  <conditionalFormatting sqref="Q121">
    <cfRule type="expression" dxfId="240" priority="517">
      <formula>$E121&lt;&gt;"Yes"</formula>
    </cfRule>
  </conditionalFormatting>
  <conditionalFormatting sqref="Q122">
    <cfRule type="expression" dxfId="239" priority="516">
      <formula>$E$7&lt;&gt;"Yes"</formula>
    </cfRule>
  </conditionalFormatting>
  <conditionalFormatting sqref="Q122">
    <cfRule type="expression" dxfId="238" priority="515">
      <formula>$E122&lt;&gt;"Yes"</formula>
    </cfRule>
  </conditionalFormatting>
  <conditionalFormatting sqref="Q123">
    <cfRule type="expression" dxfId="237" priority="514">
      <formula>$E$7&lt;&gt;"Yes"</formula>
    </cfRule>
  </conditionalFormatting>
  <conditionalFormatting sqref="Q123">
    <cfRule type="expression" dxfId="236" priority="513">
      <formula>$E123&lt;&gt;"Yes"</formula>
    </cfRule>
  </conditionalFormatting>
  <conditionalFormatting sqref="Q124">
    <cfRule type="expression" dxfId="235" priority="512">
      <formula>$E$7&lt;&gt;"Yes"</formula>
    </cfRule>
  </conditionalFormatting>
  <conditionalFormatting sqref="Q124">
    <cfRule type="expression" dxfId="234" priority="511">
      <formula>$E124&lt;&gt;"Yes"</formula>
    </cfRule>
  </conditionalFormatting>
  <conditionalFormatting sqref="Q125">
    <cfRule type="expression" dxfId="233" priority="510">
      <formula>$E$7&lt;&gt;"Yes"</formula>
    </cfRule>
  </conditionalFormatting>
  <conditionalFormatting sqref="Q125">
    <cfRule type="expression" dxfId="232" priority="509">
      <formula>$E125&lt;&gt;"Yes"</formula>
    </cfRule>
  </conditionalFormatting>
  <conditionalFormatting sqref="Q127">
    <cfRule type="expression" dxfId="231" priority="508">
      <formula>$E$7&lt;&gt;"Yes"</formula>
    </cfRule>
  </conditionalFormatting>
  <conditionalFormatting sqref="Q127">
    <cfRule type="expression" dxfId="230" priority="507">
      <formula>$E127&lt;&gt;"Yes"</formula>
    </cfRule>
  </conditionalFormatting>
  <conditionalFormatting sqref="Q128">
    <cfRule type="expression" dxfId="229" priority="506">
      <formula>$E$7&lt;&gt;"Yes"</formula>
    </cfRule>
  </conditionalFormatting>
  <conditionalFormatting sqref="Q128">
    <cfRule type="expression" dxfId="228" priority="505">
      <formula>$E128&lt;&gt;"Yes"</formula>
    </cfRule>
  </conditionalFormatting>
  <conditionalFormatting sqref="Q129">
    <cfRule type="expression" dxfId="227" priority="504">
      <formula>$E$7&lt;&gt;"Yes"</formula>
    </cfRule>
  </conditionalFormatting>
  <conditionalFormatting sqref="Q129">
    <cfRule type="expression" dxfId="226" priority="503">
      <formula>$E129&lt;&gt;"Yes"</formula>
    </cfRule>
  </conditionalFormatting>
  <conditionalFormatting sqref="Q130">
    <cfRule type="expression" dxfId="225" priority="502">
      <formula>$E$7&lt;&gt;"Yes"</formula>
    </cfRule>
  </conditionalFormatting>
  <conditionalFormatting sqref="Q130">
    <cfRule type="expression" dxfId="224" priority="501">
      <formula>$E130&lt;&gt;"Yes"</formula>
    </cfRule>
  </conditionalFormatting>
  <conditionalFormatting sqref="Q131">
    <cfRule type="expression" dxfId="223" priority="500">
      <formula>$E$7&lt;&gt;"Yes"</formula>
    </cfRule>
  </conditionalFormatting>
  <conditionalFormatting sqref="Q131">
    <cfRule type="expression" dxfId="222" priority="499">
      <formula>$E131&lt;&gt;"Yes"</formula>
    </cfRule>
  </conditionalFormatting>
  <conditionalFormatting sqref="Q132">
    <cfRule type="expression" dxfId="221" priority="498">
      <formula>$E$7&lt;&gt;"Yes"</formula>
    </cfRule>
  </conditionalFormatting>
  <conditionalFormatting sqref="Q132">
    <cfRule type="expression" dxfId="220" priority="497">
      <formula>$E132&lt;&gt;"Yes"</formula>
    </cfRule>
  </conditionalFormatting>
  <conditionalFormatting sqref="Q133">
    <cfRule type="expression" dxfId="219" priority="496">
      <formula>$E$7&lt;&gt;"Yes"</formula>
    </cfRule>
  </conditionalFormatting>
  <conditionalFormatting sqref="Q133">
    <cfRule type="expression" dxfId="218" priority="495">
      <formula>$E133&lt;&gt;"Yes"</formula>
    </cfRule>
  </conditionalFormatting>
  <conditionalFormatting sqref="Q134">
    <cfRule type="expression" dxfId="217" priority="494">
      <formula>$E$7&lt;&gt;"Yes"</formula>
    </cfRule>
  </conditionalFormatting>
  <conditionalFormatting sqref="Q134">
    <cfRule type="expression" dxfId="216" priority="493">
      <formula>$E134&lt;&gt;"Yes"</formula>
    </cfRule>
  </conditionalFormatting>
  <conditionalFormatting sqref="Q135">
    <cfRule type="expression" dxfId="215" priority="492">
      <formula>$E$7&lt;&gt;"Yes"</formula>
    </cfRule>
  </conditionalFormatting>
  <conditionalFormatting sqref="Q135">
    <cfRule type="expression" dxfId="214" priority="491">
      <formula>$E135&lt;&gt;"Yes"</formula>
    </cfRule>
  </conditionalFormatting>
  <conditionalFormatting sqref="Q136">
    <cfRule type="expression" dxfId="213" priority="490">
      <formula>$E$7&lt;&gt;"Yes"</formula>
    </cfRule>
  </conditionalFormatting>
  <conditionalFormatting sqref="Q136">
    <cfRule type="expression" dxfId="212" priority="489">
      <formula>$E136&lt;&gt;"Yes"</formula>
    </cfRule>
  </conditionalFormatting>
  <conditionalFormatting sqref="Q137">
    <cfRule type="expression" dxfId="211" priority="488">
      <formula>$E$7&lt;&gt;"Yes"</formula>
    </cfRule>
  </conditionalFormatting>
  <conditionalFormatting sqref="Q137">
    <cfRule type="expression" dxfId="210" priority="487">
      <formula>$E137&lt;&gt;"Yes"</formula>
    </cfRule>
  </conditionalFormatting>
  <conditionalFormatting sqref="Q138">
    <cfRule type="expression" dxfId="209" priority="486">
      <formula>$E$7&lt;&gt;"Yes"</formula>
    </cfRule>
  </conditionalFormatting>
  <conditionalFormatting sqref="Q138">
    <cfRule type="expression" dxfId="208" priority="485">
      <formula>$E138&lt;&gt;"Yes"</formula>
    </cfRule>
  </conditionalFormatting>
  <conditionalFormatting sqref="Q139:Q144">
    <cfRule type="expression" dxfId="207" priority="484">
      <formula>$E$7&lt;&gt;"Yes"</formula>
    </cfRule>
  </conditionalFormatting>
  <conditionalFormatting sqref="Q139:Q144">
    <cfRule type="expression" dxfId="206" priority="483">
      <formula>$E139&lt;&gt;"Yes"</formula>
    </cfRule>
  </conditionalFormatting>
  <conditionalFormatting sqref="Q145:Q148">
    <cfRule type="expression" dxfId="205" priority="482">
      <formula>$E$7&lt;&gt;"Yes"</formula>
    </cfRule>
  </conditionalFormatting>
  <conditionalFormatting sqref="Q145:Q148">
    <cfRule type="expression" dxfId="204" priority="481">
      <formula>$E145&lt;&gt;"Yes"</formula>
    </cfRule>
  </conditionalFormatting>
  <conditionalFormatting sqref="Q149:Q154">
    <cfRule type="expression" dxfId="203" priority="480">
      <formula>$E$7&lt;&gt;"Yes"</formula>
    </cfRule>
  </conditionalFormatting>
  <conditionalFormatting sqref="Q149:Q154">
    <cfRule type="expression" dxfId="202" priority="479">
      <formula>$E149&lt;&gt;"Yes"</formula>
    </cfRule>
  </conditionalFormatting>
  <conditionalFormatting sqref="Q155:Q159">
    <cfRule type="expression" dxfId="201" priority="478">
      <formula>$E$7&lt;&gt;"Yes"</formula>
    </cfRule>
  </conditionalFormatting>
  <conditionalFormatting sqref="Q155:Q159">
    <cfRule type="expression" dxfId="200" priority="477">
      <formula>$E155&lt;&gt;"Yes"</formula>
    </cfRule>
  </conditionalFormatting>
  <dataValidations count="1">
    <dataValidation type="list" allowBlank="1" showInputMessage="1" showErrorMessage="1" sqref="Q7">
      <formula1>INDIRECT(#REF!)</formula1>
    </dataValidation>
  </dataValidations>
  <pageMargins left="0.7" right="0.7" top="0.75" bottom="0.75" header="0.3" footer="0.3"/>
  <pageSetup scale="48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2">
        <x14:dataValidation type="list" allowBlank="1" showInputMessage="1" showErrorMessage="1">
          <x14:formula1>
            <xm:f>Tables_Activities!$A$3:$B$3</xm:f>
          </x14:formula1>
          <xm:sqref>E7:E162</xm:sqref>
        </x14:dataValidation>
        <x14:dataValidation type="list" allowBlank="1" showInputMessage="1" showErrorMessage="1">
          <x14:formula1>
            <xm:f>Tables_Activities!$B$4:$D$4</xm:f>
          </x14:formula1>
          <xm:sqref>M7:M162</xm:sqref>
        </x14:dataValidation>
        <x14:dataValidation type="list" allowBlank="1" showInputMessage="1" showErrorMessage="1">
          <x14:formula1>
            <xm:f>Tables_Activities!$B$5:$L$5</xm:f>
          </x14:formula1>
          <xm:sqref>N7:N162</xm:sqref>
        </x14:dataValidation>
        <x14:dataValidation type="list" allowBlank="1" showInputMessage="1" showErrorMessage="1">
          <x14:formula1>
            <xm:f>Tables_TechMap!$B$5:$B$40</xm:f>
          </x14:formula1>
          <xm:sqref>Q20 Q18 Q28:Q34 Q36:Q37 Q77 Q8:Q12</xm:sqref>
        </x14:dataValidation>
        <x14:dataValidation type="list" allowBlank="1" showInputMessage="1" showErrorMessage="1">
          <x14:formula1>
            <xm:f>Tables_TechMap!$J$5:$J$40</xm:f>
          </x14:formula1>
          <xm:sqref>Q13:Q17 Q19 Q26:Q27 Q38:Q43 Q87 Q94 Q99 Q102 Q108 Q145:Q154</xm:sqref>
        </x14:dataValidation>
        <x14:dataValidation type="list" allowBlank="1" showInputMessage="1" showErrorMessage="1">
          <x14:formula1>
            <xm:f>Tables_TechMap!$CD$5:$CD$40</xm:f>
          </x14:formula1>
          <xm:sqref>Q21:Q25 Q116:Q118</xm:sqref>
        </x14:dataValidation>
        <x14:dataValidation type="list" allowBlank="1" showInputMessage="1" showErrorMessage="1">
          <x14:formula1>
            <xm:f>Tables_TechMap!$V$5:$V$40</xm:f>
          </x14:formula1>
          <xm:sqref>Q92:Q93 Q35</xm:sqref>
        </x14:dataValidation>
        <x14:dataValidation type="list" allowBlank="1" showInputMessage="1" showErrorMessage="1">
          <x14:formula1>
            <xm:f>Tables_TechMap!$DF$5:$DF$40</xm:f>
          </x14:formula1>
          <xm:sqref>Q59:Q61 Q63:Q65 Q44 Q76 Q80 Q82:Q83 Q88 Q115 Q155:Q159</xm:sqref>
        </x14:dataValidation>
        <x14:dataValidation type="list" allowBlank="1" showInputMessage="1" showErrorMessage="1">
          <x14:formula1>
            <xm:f>Tables_TechMap!$DB$5:$DB$40</xm:f>
          </x14:formula1>
          <xm:sqref>Q66:Q75 Q45:Q58 Q84:Q86</xm:sqref>
        </x14:dataValidation>
        <x14:dataValidation type="list" allowBlank="1" showInputMessage="1" showErrorMessage="1">
          <x14:formula1>
            <xm:f>Tables_TechMap!$BF$5:$BF$40</xm:f>
          </x14:formula1>
          <xm:sqref>Q81 Q62</xm:sqref>
        </x14:dataValidation>
        <x14:dataValidation type="list" allowBlank="1" showInputMessage="1" showErrorMessage="1">
          <x14:formula1>
            <xm:f>Tables_TechMap!$AP$5:$AP$40</xm:f>
          </x14:formula1>
          <xm:sqref>Q126 Q78:Q79 Q113</xm:sqref>
        </x14:dataValidation>
        <x14:dataValidation type="list" allowBlank="1" showInputMessage="1" showErrorMessage="1">
          <x14:formula1>
            <xm:f>Tables_TechMap!$R$5:$R$40</xm:f>
          </x14:formula1>
          <xm:sqref>Q89:Q91</xm:sqref>
        </x14:dataValidation>
        <x14:dataValidation type="list" allowBlank="1" showInputMessage="1" showErrorMessage="1">
          <x14:formula1>
            <xm:f>Tables_TechMap!$Z$5:$Z$40</xm:f>
          </x14:formula1>
          <xm:sqref>Q95:Q98</xm:sqref>
        </x14:dataValidation>
        <x14:dataValidation type="list" allowBlank="1" showInputMessage="1" showErrorMessage="1">
          <x14:formula1>
            <xm:f>Tables_TechMap!$AL$5:$AL$40</xm:f>
          </x14:formula1>
          <xm:sqref>Q100:Q101 Q103:Q104</xm:sqref>
        </x14:dataValidation>
        <x14:dataValidation type="list" allowBlank="1" showInputMessage="1" showErrorMessage="1">
          <x14:formula1>
            <xm:f>Tables_TechMap!$AT$5:$AT$40</xm:f>
          </x14:formula1>
          <xm:sqref>Q105:Q106</xm:sqref>
        </x14:dataValidation>
        <x14:dataValidation type="list" allowBlank="1" showInputMessage="1" showErrorMessage="1">
          <x14:formula1>
            <xm:f>Tables_TechMap!$BN$5:$BN$40</xm:f>
          </x14:formula1>
          <xm:sqref>Q120:Q121 Q109:Q110 Q127:Q128 Q133:Q134</xm:sqref>
        </x14:dataValidation>
        <x14:dataValidation type="list" allowBlank="1" showInputMessage="1" showErrorMessage="1">
          <x14:formula1>
            <xm:f>Tables_TechMap!$AH$5:$AH$40</xm:f>
          </x14:formula1>
          <xm:sqref>Q160:Q162 Q111:Q112</xm:sqref>
        </x14:dataValidation>
        <x14:dataValidation type="list" allowBlank="1" showInputMessage="1" showErrorMessage="1">
          <x14:formula1>
            <xm:f>Tables_TechMap!$BR$5:$BR$40</xm:f>
          </x14:formula1>
          <xm:sqref>Q122 Q129 Q135</xm:sqref>
        </x14:dataValidation>
        <x14:dataValidation type="list" allowBlank="1" showInputMessage="1" showErrorMessage="1">
          <x14:formula1>
            <xm:f>Tables_TechMap!$BV$5:$BV$40</xm:f>
          </x14:formula1>
          <xm:sqref>Q123 Q130 Q136</xm:sqref>
        </x14:dataValidation>
        <x14:dataValidation type="list" allowBlank="1" showInputMessage="1" showErrorMessage="1">
          <x14:formula1>
            <xm:f>Tables_TechMap!$BZ$5:$BZ$40</xm:f>
          </x14:formula1>
          <xm:sqref>Q124:Q125 Q131:Q132 Q137:Q138</xm:sqref>
        </x14:dataValidation>
        <x14:dataValidation type="list" allowBlank="1" showInputMessage="1" showErrorMessage="1">
          <x14:formula1>
            <xm:f>Tables_TechMap!$AD$5:$AD$41</xm:f>
          </x14:formula1>
          <xm:sqref>Q114 Q107 Q139:Q144</xm:sqref>
        </x14:dataValidation>
        <x14:dataValidation type="list" allowBlank="1" showInputMessage="1" showErrorMessage="1">
          <x14:formula1>
            <xm:f>Tables_TechMap!CD$5:$CD$40</xm:f>
          </x14:formula1>
          <xm:sqref>Q119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6"/>
  <sheetViews>
    <sheetView workbookViewId="0"/>
  </sheetViews>
  <sheetFormatPr defaultRowHeight="12.75" x14ac:dyDescent="0.25"/>
  <cols>
    <col min="1" max="12" width="10.5" style="3" customWidth="1"/>
    <col min="13" max="16384" width="9" style="3"/>
  </cols>
  <sheetData>
    <row r="1" spans="1:15" s="2" customFormat="1" x14ac:dyDescent="0.25">
      <c r="A1" s="1" t="s">
        <v>12</v>
      </c>
    </row>
    <row r="2" spans="1:15" s="18" customFormat="1" x14ac:dyDescent="0.25">
      <c r="A2" s="16" t="s">
        <v>9</v>
      </c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</row>
    <row r="3" spans="1:15" x14ac:dyDescent="0.25">
      <c r="A3" s="19" t="s">
        <v>7</v>
      </c>
      <c r="B3" s="19" t="s">
        <v>8</v>
      </c>
      <c r="C3" s="19"/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</row>
    <row r="4" spans="1:15" x14ac:dyDescent="0.25">
      <c r="A4" s="19" t="s">
        <v>15</v>
      </c>
      <c r="B4" s="19" t="s">
        <v>51</v>
      </c>
      <c r="C4" s="19" t="s">
        <v>52</v>
      </c>
      <c r="D4" s="19" t="s">
        <v>1</v>
      </c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</row>
    <row r="5" spans="1:15" ht="25.5" x14ac:dyDescent="0.25">
      <c r="A5" s="19" t="s">
        <v>362</v>
      </c>
      <c r="B5" s="19" t="s">
        <v>59</v>
      </c>
      <c r="C5" s="19" t="s">
        <v>53</v>
      </c>
      <c r="D5" s="19" t="s">
        <v>383</v>
      </c>
      <c r="E5" s="19" t="s">
        <v>54</v>
      </c>
      <c r="F5" s="19" t="s">
        <v>55</v>
      </c>
      <c r="G5" s="19" t="s">
        <v>56</v>
      </c>
      <c r="H5" s="19" t="s">
        <v>360</v>
      </c>
      <c r="I5" s="19" t="s">
        <v>361</v>
      </c>
      <c r="J5" s="19" t="s">
        <v>57</v>
      </c>
      <c r="K5" s="19" t="s">
        <v>58</v>
      </c>
      <c r="L5" s="19" t="s">
        <v>60</v>
      </c>
      <c r="M5" s="19"/>
      <c r="N5" s="19"/>
      <c r="O5" s="19"/>
    </row>
    <row r="6" spans="1:15" x14ac:dyDescent="0.25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EC41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2.75" x14ac:dyDescent="0.25"/>
  <cols>
    <col min="1" max="1" width="9" style="3" customWidth="1"/>
    <col min="2" max="2" width="12.25" style="3" customWidth="1"/>
    <col min="3" max="5" width="5.375" style="29" customWidth="1"/>
    <col min="6" max="6" width="14.875" style="3" customWidth="1"/>
    <col min="7" max="9" width="5.375" style="29" customWidth="1"/>
    <col min="10" max="10" width="11.75" style="3" customWidth="1"/>
    <col min="11" max="13" width="5.375" style="29" customWidth="1"/>
    <col min="14" max="14" width="9" style="3"/>
    <col min="15" max="17" width="5.375" style="29" customWidth="1"/>
    <col min="18" max="18" width="9.75" style="3" customWidth="1"/>
    <col min="19" max="21" width="5.375" style="29" customWidth="1"/>
    <col min="22" max="22" width="10.5" style="3" customWidth="1"/>
    <col min="23" max="25" width="5.375" style="29" customWidth="1"/>
    <col min="26" max="26" width="11.625" style="3" customWidth="1"/>
    <col min="27" max="29" width="5.375" style="29" customWidth="1"/>
    <col min="30" max="30" width="18.875" style="3" customWidth="1"/>
    <col min="31" max="33" width="5.375" style="29" customWidth="1"/>
    <col min="34" max="34" width="15" style="3" customWidth="1"/>
    <col min="35" max="37" width="5.375" style="29" customWidth="1"/>
    <col min="38" max="38" width="18.5" style="3" customWidth="1"/>
    <col min="39" max="41" width="5.375" style="29" customWidth="1"/>
    <col min="42" max="42" width="14.875" style="3" customWidth="1"/>
    <col min="43" max="45" width="5.375" style="29" customWidth="1"/>
    <col min="46" max="46" width="12.25" style="3" customWidth="1"/>
    <col min="47" max="49" width="5.375" style="29" customWidth="1"/>
    <col min="50" max="50" width="14.125" style="3" customWidth="1"/>
    <col min="51" max="53" width="5.375" style="29" customWidth="1"/>
    <col min="54" max="54" width="12.875" style="3" customWidth="1"/>
    <col min="55" max="57" width="5.375" style="29" customWidth="1"/>
    <col min="58" max="58" width="22" style="3" customWidth="1"/>
    <col min="59" max="61" width="5.375" style="29" customWidth="1"/>
    <col min="62" max="62" width="16" style="3" customWidth="1"/>
    <col min="63" max="65" width="5.375" style="29" customWidth="1"/>
    <col min="66" max="66" width="16.25" style="3" customWidth="1"/>
    <col min="67" max="69" width="5.375" style="29" customWidth="1"/>
    <col min="70" max="70" width="12.375" style="3" customWidth="1"/>
    <col min="71" max="73" width="5.375" style="29" customWidth="1"/>
    <col min="74" max="74" width="14.875" style="3" customWidth="1"/>
    <col min="75" max="77" width="5.375" style="29" customWidth="1"/>
    <col min="78" max="78" width="17.5" style="3" customWidth="1"/>
    <col min="79" max="81" width="5.375" style="29" customWidth="1"/>
    <col min="82" max="82" width="16.375" style="3" customWidth="1"/>
    <col min="83" max="85" width="5.375" style="29" customWidth="1"/>
    <col min="86" max="86" width="12.125" style="3" customWidth="1"/>
    <col min="87" max="89" width="5.375" style="29" customWidth="1"/>
    <col min="90" max="90" width="14.875" style="3" customWidth="1"/>
    <col min="91" max="93" width="5.375" style="29" customWidth="1"/>
    <col min="94" max="94" width="9" style="3"/>
    <col min="95" max="97" width="5.375" style="29" customWidth="1"/>
    <col min="98" max="98" width="11.5" style="3" customWidth="1"/>
    <col min="99" max="101" width="5.375" style="29" customWidth="1"/>
    <col min="102" max="102" width="16.875" style="3" customWidth="1"/>
    <col min="103" max="105" width="5.375" style="29" customWidth="1"/>
    <col min="106" max="106" width="15.25" style="3" customWidth="1"/>
    <col min="107" max="109" width="5.375" style="29" customWidth="1"/>
    <col min="110" max="110" width="14.875" style="3" customWidth="1"/>
    <col min="111" max="113" width="5.375" style="29" customWidth="1"/>
    <col min="114" max="114" width="9" style="3"/>
    <col min="115" max="117" width="5.375" style="29" customWidth="1"/>
    <col min="118" max="118" width="9" style="3"/>
    <col min="119" max="121" width="5.375" style="29" customWidth="1"/>
    <col min="122" max="122" width="12.75" style="3" customWidth="1"/>
    <col min="123" max="125" width="5.375" style="29" customWidth="1"/>
    <col min="126" max="126" width="14.5" style="3" customWidth="1"/>
    <col min="127" max="129" width="5.375" style="29" customWidth="1"/>
    <col min="130" max="130" width="17.125" style="3" customWidth="1"/>
    <col min="131" max="133" width="5.375" style="29" customWidth="1"/>
    <col min="134" max="16384" width="9" style="3"/>
  </cols>
  <sheetData>
    <row r="1" spans="1:133" s="2" customFormat="1" x14ac:dyDescent="0.25">
      <c r="A1" s="1" t="s">
        <v>12</v>
      </c>
      <c r="C1" s="27"/>
      <c r="D1" s="27"/>
      <c r="E1" s="27"/>
      <c r="G1" s="27"/>
      <c r="H1" s="27"/>
      <c r="I1" s="27"/>
      <c r="K1" s="27"/>
      <c r="L1" s="27"/>
      <c r="M1" s="27"/>
      <c r="O1" s="27"/>
      <c r="P1" s="27"/>
      <c r="Q1" s="27"/>
      <c r="S1" s="27"/>
      <c r="T1" s="27"/>
      <c r="U1" s="27"/>
      <c r="W1" s="27"/>
      <c r="X1" s="27"/>
      <c r="Y1" s="27"/>
      <c r="AA1" s="27"/>
      <c r="AB1" s="27"/>
      <c r="AC1" s="27"/>
      <c r="AE1" s="27"/>
      <c r="AF1" s="27"/>
      <c r="AG1" s="27"/>
      <c r="AI1" s="27"/>
      <c r="AJ1" s="27"/>
      <c r="AK1" s="27"/>
      <c r="AM1" s="27"/>
      <c r="AN1" s="27"/>
      <c r="AO1" s="27"/>
      <c r="AQ1" s="27"/>
      <c r="AR1" s="27"/>
      <c r="AS1" s="27"/>
      <c r="AU1" s="27"/>
      <c r="AV1" s="27"/>
      <c r="AW1" s="27"/>
      <c r="AY1" s="27"/>
      <c r="AZ1" s="27"/>
      <c r="BA1" s="27"/>
      <c r="BC1" s="27"/>
      <c r="BD1" s="27"/>
      <c r="BE1" s="27"/>
      <c r="BG1" s="27"/>
      <c r="BH1" s="27"/>
      <c r="BI1" s="27"/>
      <c r="BK1" s="27"/>
      <c r="BL1" s="27"/>
      <c r="BM1" s="27"/>
      <c r="BO1" s="27"/>
      <c r="BP1" s="27"/>
      <c r="BQ1" s="27"/>
      <c r="BS1" s="27"/>
      <c r="BT1" s="27"/>
      <c r="BU1" s="27"/>
      <c r="BW1" s="27"/>
      <c r="BX1" s="27"/>
      <c r="BY1" s="27"/>
      <c r="CA1" s="27"/>
      <c r="CB1" s="27"/>
      <c r="CC1" s="27"/>
      <c r="CE1" s="27"/>
      <c r="CF1" s="27"/>
      <c r="CG1" s="27"/>
      <c r="CI1" s="27"/>
      <c r="CJ1" s="27"/>
      <c r="CK1" s="27"/>
      <c r="CM1" s="27"/>
      <c r="CN1" s="27"/>
      <c r="CO1" s="27"/>
      <c r="CQ1" s="27"/>
      <c r="CR1" s="27"/>
      <c r="CS1" s="27"/>
      <c r="CU1" s="27"/>
      <c r="CV1" s="27"/>
      <c r="CW1" s="27"/>
      <c r="CY1" s="27"/>
      <c r="CZ1" s="27"/>
      <c r="DA1" s="27"/>
      <c r="DC1" s="27"/>
      <c r="DD1" s="27"/>
      <c r="DE1" s="27"/>
      <c r="DG1" s="27"/>
      <c r="DH1" s="27"/>
      <c r="DI1" s="27"/>
      <c r="DK1" s="27"/>
      <c r="DL1" s="27"/>
      <c r="DM1" s="27"/>
      <c r="DO1" s="27"/>
      <c r="DP1" s="27"/>
      <c r="DQ1" s="27"/>
      <c r="DS1" s="27"/>
      <c r="DT1" s="27"/>
      <c r="DU1" s="27"/>
      <c r="DW1" s="27"/>
      <c r="DX1" s="27"/>
      <c r="DY1" s="27"/>
      <c r="EA1" s="27"/>
      <c r="EB1" s="27"/>
      <c r="EC1" s="27"/>
    </row>
    <row r="2" spans="1:133" s="18" customFormat="1" x14ac:dyDescent="0.25">
      <c r="A2" s="16" t="s">
        <v>38</v>
      </c>
      <c r="B2" s="17"/>
      <c r="C2" s="28"/>
      <c r="D2" s="28"/>
      <c r="E2" s="28"/>
      <c r="F2" s="17"/>
      <c r="G2" s="28"/>
      <c r="H2" s="28"/>
      <c r="I2" s="28"/>
      <c r="J2" s="17"/>
      <c r="K2" s="28"/>
      <c r="L2" s="28"/>
      <c r="M2" s="28"/>
      <c r="N2" s="17"/>
      <c r="O2" s="28"/>
      <c r="P2" s="28"/>
      <c r="Q2" s="28"/>
      <c r="R2" s="17"/>
      <c r="S2" s="28"/>
      <c r="T2" s="28"/>
      <c r="U2" s="28"/>
      <c r="V2" s="17"/>
      <c r="W2" s="28"/>
      <c r="X2" s="28"/>
      <c r="Y2" s="28"/>
      <c r="Z2" s="17"/>
      <c r="AA2" s="28"/>
      <c r="AB2" s="28"/>
      <c r="AC2" s="28"/>
      <c r="AD2" s="17"/>
      <c r="AE2" s="28"/>
      <c r="AF2" s="28"/>
      <c r="AG2" s="28"/>
      <c r="AH2" s="17"/>
      <c r="AI2" s="28"/>
      <c r="AJ2" s="28"/>
      <c r="AK2" s="28"/>
      <c r="AL2" s="17"/>
      <c r="AM2" s="28"/>
      <c r="AN2" s="28"/>
      <c r="AO2" s="28"/>
      <c r="AP2" s="17"/>
      <c r="AQ2" s="28"/>
      <c r="AR2" s="28"/>
      <c r="AS2" s="28"/>
      <c r="AT2" s="17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  <c r="BN2" s="28"/>
      <c r="BO2" s="28"/>
      <c r="BP2" s="28"/>
      <c r="BQ2" s="28"/>
      <c r="BR2" s="28"/>
      <c r="BS2" s="28"/>
      <c r="BT2" s="28"/>
      <c r="BU2" s="28"/>
      <c r="BV2" s="28"/>
      <c r="BW2" s="28"/>
      <c r="BX2" s="28"/>
      <c r="BY2" s="28"/>
      <c r="BZ2" s="28"/>
      <c r="CA2" s="28"/>
      <c r="CB2" s="28"/>
      <c r="CC2" s="28"/>
      <c r="CD2" s="28"/>
      <c r="CE2" s="28"/>
      <c r="CF2" s="28"/>
      <c r="CG2" s="28"/>
      <c r="CH2" s="28"/>
      <c r="CI2" s="28"/>
      <c r="CJ2" s="28"/>
      <c r="CK2" s="28"/>
      <c r="CL2" s="28"/>
      <c r="CM2" s="28"/>
      <c r="CN2" s="28"/>
      <c r="CO2" s="28"/>
      <c r="CP2" s="28"/>
      <c r="CQ2" s="28"/>
      <c r="CR2" s="28"/>
      <c r="CS2" s="28"/>
      <c r="CT2" s="28"/>
      <c r="CU2" s="28"/>
      <c r="CV2" s="28"/>
      <c r="CW2" s="28"/>
      <c r="CX2" s="28"/>
      <c r="CY2" s="28"/>
      <c r="CZ2" s="28"/>
      <c r="DA2" s="28"/>
      <c r="DB2" s="28"/>
      <c r="DC2" s="28"/>
      <c r="DD2" s="28"/>
      <c r="DE2" s="28"/>
      <c r="DF2" s="28"/>
      <c r="DG2" s="28"/>
      <c r="DH2" s="28"/>
      <c r="DI2" s="28"/>
      <c r="DJ2" s="28"/>
      <c r="DK2" s="28"/>
      <c r="DL2" s="28"/>
      <c r="DM2" s="28"/>
      <c r="DN2" s="28"/>
      <c r="DO2" s="28"/>
      <c r="DP2" s="28"/>
      <c r="DQ2" s="28"/>
      <c r="DR2" s="28"/>
      <c r="DS2" s="28"/>
      <c r="DT2" s="28"/>
      <c r="DU2" s="28"/>
      <c r="DV2" s="28"/>
      <c r="DW2" s="28"/>
      <c r="DX2" s="28"/>
      <c r="DY2" s="28"/>
      <c r="DZ2" s="28"/>
      <c r="EA2" s="28"/>
      <c r="EB2" s="28"/>
      <c r="EC2" s="28"/>
    </row>
    <row r="3" spans="1:133" s="10" customFormat="1" x14ac:dyDescent="0.25">
      <c r="B3" s="10">
        <v>1</v>
      </c>
      <c r="F3" s="10">
        <v>2</v>
      </c>
      <c r="J3" s="10">
        <v>3</v>
      </c>
      <c r="N3" s="10">
        <v>4</v>
      </c>
      <c r="R3" s="10">
        <v>5</v>
      </c>
      <c r="V3" s="10">
        <v>6</v>
      </c>
      <c r="Z3" s="10">
        <v>7</v>
      </c>
      <c r="AD3" s="10">
        <v>8</v>
      </c>
      <c r="AH3" s="10">
        <v>9</v>
      </c>
      <c r="AL3" s="10">
        <v>10</v>
      </c>
      <c r="AP3" s="10">
        <v>11</v>
      </c>
      <c r="AT3" s="10">
        <v>12</v>
      </c>
      <c r="AU3" s="24"/>
      <c r="AV3" s="24"/>
      <c r="AW3" s="24"/>
      <c r="AX3" s="10">
        <v>13</v>
      </c>
      <c r="AY3" s="24"/>
      <c r="AZ3" s="24"/>
      <c r="BA3" s="24"/>
      <c r="BB3" s="10">
        <v>14</v>
      </c>
      <c r="BC3" s="24"/>
      <c r="BD3" s="24"/>
      <c r="BE3" s="24"/>
      <c r="BF3" s="10">
        <v>15</v>
      </c>
      <c r="BG3" s="24"/>
      <c r="BH3" s="24"/>
      <c r="BI3" s="24"/>
      <c r="BJ3" s="10">
        <v>16</v>
      </c>
      <c r="BK3" s="24"/>
      <c r="BL3" s="24"/>
      <c r="BM3" s="24"/>
      <c r="BN3" s="10">
        <v>17</v>
      </c>
      <c r="BO3" s="24"/>
      <c r="BP3" s="24"/>
      <c r="BQ3" s="24"/>
      <c r="BR3" s="10">
        <v>18</v>
      </c>
      <c r="BS3" s="24"/>
      <c r="BT3" s="24"/>
      <c r="BU3" s="24"/>
      <c r="BV3" s="10">
        <v>19</v>
      </c>
      <c r="BW3" s="24"/>
      <c r="BX3" s="24"/>
      <c r="BY3" s="24"/>
      <c r="BZ3" s="10">
        <v>20</v>
      </c>
      <c r="CA3" s="24"/>
      <c r="CB3" s="24"/>
      <c r="CC3" s="24"/>
      <c r="CD3" s="10">
        <v>21</v>
      </c>
      <c r="CE3" s="24"/>
      <c r="CF3" s="24"/>
      <c r="CG3" s="24"/>
      <c r="CH3" s="10">
        <v>22</v>
      </c>
      <c r="CI3" s="24"/>
      <c r="CJ3" s="24"/>
      <c r="CK3" s="24"/>
      <c r="CL3" s="10">
        <v>23</v>
      </c>
      <c r="CM3" s="24"/>
      <c r="CN3" s="24"/>
      <c r="CO3" s="24"/>
      <c r="CP3" s="10">
        <v>24</v>
      </c>
      <c r="CQ3" s="24"/>
      <c r="CR3" s="24"/>
      <c r="CS3" s="24"/>
      <c r="CT3" s="10">
        <v>25</v>
      </c>
      <c r="CU3" s="24"/>
      <c r="CV3" s="24"/>
      <c r="CW3" s="24"/>
      <c r="CX3" s="10">
        <v>26</v>
      </c>
      <c r="CY3" s="24"/>
      <c r="CZ3" s="24"/>
      <c r="DA3" s="24"/>
      <c r="DB3" s="10">
        <v>27</v>
      </c>
      <c r="DC3" s="24"/>
      <c r="DD3" s="24"/>
      <c r="DE3" s="24"/>
      <c r="DF3" s="10">
        <v>28</v>
      </c>
      <c r="DG3" s="24"/>
      <c r="DH3" s="24"/>
      <c r="DI3" s="24"/>
      <c r="DJ3" s="10">
        <v>29</v>
      </c>
      <c r="DK3" s="24"/>
      <c r="DL3" s="24"/>
      <c r="DM3" s="24"/>
      <c r="DN3" s="10" t="s">
        <v>460</v>
      </c>
      <c r="DO3" s="24"/>
      <c r="DP3" s="24"/>
      <c r="DQ3" s="24"/>
      <c r="DR3" s="10">
        <v>31</v>
      </c>
      <c r="DS3" s="24"/>
      <c r="DT3" s="24"/>
      <c r="DU3" s="24"/>
      <c r="DV3" s="10">
        <v>32</v>
      </c>
      <c r="DW3" s="24"/>
      <c r="DX3" s="24"/>
      <c r="DY3" s="24"/>
      <c r="DZ3" s="10">
        <v>33</v>
      </c>
      <c r="EA3" s="24"/>
      <c r="EB3" s="24"/>
      <c r="EC3" s="24"/>
    </row>
    <row r="4" spans="1:133" s="10" customFormat="1" ht="25.5" x14ac:dyDescent="0.2">
      <c r="A4" s="22" t="s">
        <v>3</v>
      </c>
      <c r="B4" s="35" t="s">
        <v>466</v>
      </c>
      <c r="C4" s="32"/>
      <c r="D4" s="32"/>
      <c r="E4" s="32"/>
      <c r="F4" s="35" t="s">
        <v>467</v>
      </c>
      <c r="G4" s="32"/>
      <c r="H4" s="32"/>
      <c r="I4" s="32"/>
      <c r="J4" s="35" t="s">
        <v>468</v>
      </c>
      <c r="K4" s="32"/>
      <c r="L4" s="32"/>
      <c r="M4" s="32"/>
      <c r="N4" s="35" t="s">
        <v>469</v>
      </c>
      <c r="O4" s="32"/>
      <c r="P4" s="32"/>
      <c r="Q4" s="32"/>
      <c r="R4" s="35" t="s">
        <v>470</v>
      </c>
      <c r="S4" s="32"/>
      <c r="T4" s="32"/>
      <c r="U4" s="32"/>
      <c r="V4" s="35" t="s">
        <v>471</v>
      </c>
      <c r="W4" s="32"/>
      <c r="X4" s="32"/>
      <c r="Y4" s="32"/>
      <c r="Z4" s="35" t="s">
        <v>472</v>
      </c>
      <c r="AA4" s="32"/>
      <c r="AB4" s="32"/>
      <c r="AC4" s="32"/>
      <c r="AD4" s="35" t="s">
        <v>473</v>
      </c>
      <c r="AE4" s="32"/>
      <c r="AF4" s="32"/>
      <c r="AG4" s="32"/>
      <c r="AH4" s="35" t="s">
        <v>474</v>
      </c>
      <c r="AI4" s="32"/>
      <c r="AJ4" s="32"/>
      <c r="AK4" s="32"/>
      <c r="AL4" s="35" t="s">
        <v>441</v>
      </c>
      <c r="AM4" s="32"/>
      <c r="AN4" s="32"/>
      <c r="AO4" s="32"/>
      <c r="AP4" s="35" t="s">
        <v>442</v>
      </c>
      <c r="AQ4" s="32"/>
      <c r="AR4" s="32"/>
      <c r="AS4" s="32"/>
      <c r="AT4" s="35" t="s">
        <v>443</v>
      </c>
      <c r="AU4" s="32"/>
      <c r="AV4" s="32"/>
      <c r="AW4" s="32"/>
      <c r="AX4" s="35" t="s">
        <v>444</v>
      </c>
      <c r="AY4" s="32"/>
      <c r="AZ4" s="32"/>
      <c r="BA4" s="32"/>
      <c r="BB4" s="35" t="s">
        <v>445</v>
      </c>
      <c r="BC4" s="32"/>
      <c r="BD4" s="32"/>
      <c r="BE4" s="32"/>
      <c r="BF4" s="35" t="s">
        <v>446</v>
      </c>
      <c r="BG4" s="32"/>
      <c r="BH4" s="32"/>
      <c r="BI4" s="32"/>
      <c r="BJ4" s="35" t="s">
        <v>447</v>
      </c>
      <c r="BK4" s="32"/>
      <c r="BL4" s="32"/>
      <c r="BM4" s="32"/>
      <c r="BN4" s="35" t="s">
        <v>448</v>
      </c>
      <c r="BO4" s="32"/>
      <c r="BP4" s="32"/>
      <c r="BQ4" s="32"/>
      <c r="BR4" s="35" t="s">
        <v>449</v>
      </c>
      <c r="BS4" s="32"/>
      <c r="BT4" s="32"/>
      <c r="BU4" s="32"/>
      <c r="BV4" s="35" t="s">
        <v>450</v>
      </c>
      <c r="BW4" s="32"/>
      <c r="BX4" s="32"/>
      <c r="BY4" s="32"/>
      <c r="BZ4" s="35" t="s">
        <v>451</v>
      </c>
      <c r="CA4" s="32"/>
      <c r="CB4" s="32"/>
      <c r="CC4" s="32"/>
      <c r="CD4" s="35" t="s">
        <v>452</v>
      </c>
      <c r="CE4" s="32"/>
      <c r="CF4" s="32"/>
      <c r="CG4" s="32"/>
      <c r="CH4" s="35" t="s">
        <v>453</v>
      </c>
      <c r="CI4" s="32"/>
      <c r="CJ4" s="32"/>
      <c r="CK4" s="32"/>
      <c r="CL4" s="35" t="s">
        <v>454</v>
      </c>
      <c r="CM4" s="32"/>
      <c r="CN4" s="32"/>
      <c r="CO4" s="32"/>
      <c r="CP4" s="35" t="s">
        <v>455</v>
      </c>
      <c r="CQ4" s="32"/>
      <c r="CR4" s="32"/>
      <c r="CS4" s="32"/>
      <c r="CT4" s="35" t="s">
        <v>456</v>
      </c>
      <c r="CU4" s="32"/>
      <c r="CV4" s="32"/>
      <c r="CW4" s="32"/>
      <c r="CX4" s="35" t="s">
        <v>457</v>
      </c>
      <c r="CY4" s="32"/>
      <c r="CZ4" s="32"/>
      <c r="DA4" s="32"/>
      <c r="DB4" s="35" t="s">
        <v>458</v>
      </c>
      <c r="DC4" s="32"/>
      <c r="DD4" s="32"/>
      <c r="DE4" s="32"/>
      <c r="DF4" s="35" t="s">
        <v>459</v>
      </c>
      <c r="DG4" s="32"/>
      <c r="DH4" s="32"/>
      <c r="DI4" s="32"/>
      <c r="DJ4" s="35" t="s">
        <v>461</v>
      </c>
      <c r="DK4" s="32"/>
      <c r="DL4" s="32"/>
      <c r="DM4" s="32"/>
      <c r="DN4" s="11" t="s">
        <v>462</v>
      </c>
      <c r="DO4" s="32"/>
      <c r="DP4" s="32"/>
      <c r="DQ4" s="32"/>
      <c r="DR4" s="35" t="s">
        <v>463</v>
      </c>
      <c r="DS4" s="32"/>
      <c r="DT4" s="32"/>
      <c r="DU4" s="32"/>
      <c r="DV4" s="35" t="s">
        <v>464</v>
      </c>
      <c r="DW4" s="32"/>
      <c r="DX4" s="32"/>
      <c r="DY4" s="32"/>
      <c r="DZ4" s="35" t="s">
        <v>465</v>
      </c>
      <c r="EA4" s="32"/>
      <c r="EB4" s="32"/>
      <c r="EC4" s="32"/>
    </row>
    <row r="5" spans="1:133" ht="38.25" x14ac:dyDescent="0.25">
      <c r="B5" s="34" t="s">
        <v>44</v>
      </c>
      <c r="C5" s="31"/>
      <c r="D5" s="31"/>
      <c r="E5" s="31"/>
      <c r="F5" s="34" t="s">
        <v>45</v>
      </c>
      <c r="G5" s="31"/>
      <c r="H5" s="31"/>
      <c r="I5" s="31"/>
      <c r="J5" s="34" t="s">
        <v>2</v>
      </c>
      <c r="K5" s="31"/>
      <c r="L5" s="31"/>
      <c r="M5" s="31"/>
      <c r="N5" s="34" t="s">
        <v>63</v>
      </c>
      <c r="O5" s="31"/>
      <c r="P5" s="31"/>
      <c r="Q5" s="31"/>
      <c r="R5" s="34" t="s">
        <v>70</v>
      </c>
      <c r="S5" s="31"/>
      <c r="T5" s="31"/>
      <c r="U5" s="31"/>
      <c r="V5" s="34" t="s">
        <v>75</v>
      </c>
      <c r="W5" s="31"/>
      <c r="X5" s="31"/>
      <c r="Y5" s="31"/>
      <c r="Z5" s="34" t="s">
        <v>195</v>
      </c>
      <c r="AA5" s="31"/>
      <c r="AB5" s="31"/>
      <c r="AC5" s="31"/>
      <c r="AD5" s="34" t="s">
        <v>66</v>
      </c>
      <c r="AE5" s="31"/>
      <c r="AF5" s="31"/>
      <c r="AG5" s="31"/>
      <c r="AH5" s="34" t="s">
        <v>80</v>
      </c>
      <c r="AI5" s="31"/>
      <c r="AJ5" s="31"/>
      <c r="AK5" s="31"/>
      <c r="AL5" s="34" t="s">
        <v>88</v>
      </c>
      <c r="AM5" s="31"/>
      <c r="AN5" s="31"/>
      <c r="AO5" s="31"/>
      <c r="AP5" s="34" t="s">
        <v>91</v>
      </c>
      <c r="AQ5" s="31"/>
      <c r="AR5" s="31"/>
      <c r="AS5" s="31"/>
      <c r="AT5" s="34" t="s">
        <v>93</v>
      </c>
      <c r="AU5" s="31"/>
      <c r="AV5" s="31"/>
      <c r="AW5" s="31"/>
      <c r="AX5" s="34" t="s">
        <v>97</v>
      </c>
      <c r="AY5" s="31"/>
      <c r="AZ5" s="31"/>
      <c r="BA5" s="31"/>
      <c r="BB5" s="34" t="s">
        <v>183</v>
      </c>
      <c r="BC5" s="31"/>
      <c r="BD5" s="31"/>
      <c r="BE5" s="31"/>
      <c r="BF5" s="34" t="s">
        <v>128</v>
      </c>
      <c r="BG5" s="31"/>
      <c r="BH5" s="31"/>
      <c r="BI5" s="31"/>
      <c r="BJ5" s="34" t="s">
        <v>139</v>
      </c>
      <c r="BK5" s="31"/>
      <c r="BL5" s="31"/>
      <c r="BM5" s="31"/>
      <c r="BN5" s="34" t="s">
        <v>106</v>
      </c>
      <c r="BO5" s="31"/>
      <c r="BP5" s="31"/>
      <c r="BQ5" s="31"/>
      <c r="BR5" s="34" t="s">
        <v>145</v>
      </c>
      <c r="BS5" s="31"/>
      <c r="BT5" s="31"/>
      <c r="BU5" s="31"/>
      <c r="BV5" s="34" t="s">
        <v>147</v>
      </c>
      <c r="BW5" s="31"/>
      <c r="BX5" s="31"/>
      <c r="BY5" s="31"/>
      <c r="BZ5" s="34" t="s">
        <v>159</v>
      </c>
      <c r="CA5" s="31"/>
      <c r="CB5" s="31"/>
      <c r="CC5" s="31"/>
      <c r="CD5" s="34" t="s">
        <v>109</v>
      </c>
      <c r="CE5" s="31"/>
      <c r="CF5" s="31"/>
      <c r="CG5" s="31"/>
      <c r="CH5" s="34" t="s">
        <v>101</v>
      </c>
      <c r="CI5" s="31"/>
      <c r="CJ5" s="31"/>
      <c r="CK5" s="31"/>
      <c r="CL5" s="34" t="s">
        <v>112</v>
      </c>
      <c r="CM5" s="31"/>
      <c r="CN5" s="31"/>
      <c r="CO5" s="31"/>
      <c r="CP5" s="34" t="s">
        <v>193</v>
      </c>
      <c r="CQ5" s="31"/>
      <c r="CR5" s="31"/>
      <c r="CS5" s="31"/>
      <c r="CT5" s="34" t="s">
        <v>116</v>
      </c>
      <c r="CU5" s="31"/>
      <c r="CV5" s="31"/>
      <c r="CW5" s="31"/>
      <c r="CX5" s="34" t="s">
        <v>114</v>
      </c>
      <c r="CY5" s="31"/>
      <c r="CZ5" s="31"/>
      <c r="DA5" s="31"/>
      <c r="DB5" s="34" t="s">
        <v>101</v>
      </c>
      <c r="DC5" s="31"/>
      <c r="DD5" s="31"/>
      <c r="DE5" s="31"/>
      <c r="DF5" s="34" t="s">
        <v>118</v>
      </c>
      <c r="DG5" s="31"/>
      <c r="DH5" s="31"/>
      <c r="DI5" s="31"/>
      <c r="DJ5" s="34" t="s">
        <v>121</v>
      </c>
      <c r="DK5" s="31"/>
      <c r="DL5" s="31"/>
      <c r="DM5" s="31"/>
      <c r="DN5" s="19" t="s">
        <v>134</v>
      </c>
      <c r="DO5" s="31"/>
      <c r="DP5" s="31"/>
      <c r="DQ5" s="31"/>
      <c r="DR5" s="34" t="s">
        <v>140</v>
      </c>
      <c r="DS5" s="31"/>
      <c r="DT5" s="31"/>
      <c r="DU5" s="31"/>
      <c r="DV5" s="34" t="s">
        <v>206</v>
      </c>
      <c r="DW5" s="31"/>
      <c r="DX5" s="31"/>
      <c r="DY5" s="31"/>
      <c r="DZ5" s="34" t="s">
        <v>340</v>
      </c>
      <c r="EA5" s="31"/>
      <c r="EB5" s="31"/>
      <c r="EC5" s="31"/>
    </row>
    <row r="6" spans="1:133" ht="38.25" x14ac:dyDescent="0.25">
      <c r="B6" s="34" t="s">
        <v>39</v>
      </c>
      <c r="C6" s="31"/>
      <c r="D6" s="31"/>
      <c r="E6" s="31"/>
      <c r="F6" s="34" t="s">
        <v>46</v>
      </c>
      <c r="G6" s="31"/>
      <c r="H6" s="31"/>
      <c r="I6" s="31"/>
      <c r="J6" s="34" t="s">
        <v>42</v>
      </c>
      <c r="K6" s="31"/>
      <c r="L6" s="31"/>
      <c r="M6" s="31"/>
      <c r="N6" s="34" t="s">
        <v>64</v>
      </c>
      <c r="O6" s="31"/>
      <c r="P6" s="31"/>
      <c r="Q6" s="31"/>
      <c r="R6" s="34" t="s">
        <v>71</v>
      </c>
      <c r="S6" s="31"/>
      <c r="T6" s="31"/>
      <c r="U6" s="31"/>
      <c r="V6" s="34" t="s">
        <v>83</v>
      </c>
      <c r="W6" s="31"/>
      <c r="X6" s="31"/>
      <c r="Y6" s="31"/>
      <c r="Z6" s="34" t="s">
        <v>196</v>
      </c>
      <c r="AA6" s="31"/>
      <c r="AB6" s="31"/>
      <c r="AC6" s="31"/>
      <c r="AD6" s="34" t="s">
        <v>67</v>
      </c>
      <c r="AE6" s="31"/>
      <c r="AF6" s="31"/>
      <c r="AG6" s="31"/>
      <c r="AH6" s="34" t="s">
        <v>81</v>
      </c>
      <c r="AI6" s="31"/>
      <c r="AJ6" s="31"/>
      <c r="AK6" s="31"/>
      <c r="AL6" s="34" t="s">
        <v>89</v>
      </c>
      <c r="AM6" s="31"/>
      <c r="AN6" s="31"/>
      <c r="AO6" s="31"/>
      <c r="AP6" s="34" t="s">
        <v>92</v>
      </c>
      <c r="AQ6" s="31"/>
      <c r="AR6" s="31"/>
      <c r="AS6" s="31"/>
      <c r="AT6" s="34" t="s">
        <v>94</v>
      </c>
      <c r="AU6" s="31"/>
      <c r="AV6" s="31"/>
      <c r="AW6" s="31"/>
      <c r="AX6" s="34" t="s">
        <v>132</v>
      </c>
      <c r="AY6" s="31"/>
      <c r="AZ6" s="31"/>
      <c r="BA6" s="31"/>
      <c r="BB6" s="34" t="s">
        <v>184</v>
      </c>
      <c r="BC6" s="31"/>
      <c r="BD6" s="31"/>
      <c r="BE6" s="31"/>
      <c r="BF6" s="34" t="s">
        <v>129</v>
      </c>
      <c r="BG6" s="31"/>
      <c r="BH6" s="31"/>
      <c r="BI6" s="31"/>
      <c r="BJ6" s="34" t="s">
        <v>418</v>
      </c>
      <c r="BK6" s="31"/>
      <c r="BL6" s="31"/>
      <c r="BM6" s="31"/>
      <c r="BN6" s="34" t="s">
        <v>107</v>
      </c>
      <c r="BO6" s="31"/>
      <c r="BP6" s="31"/>
      <c r="BQ6" s="31"/>
      <c r="BR6" s="34" t="s">
        <v>146</v>
      </c>
      <c r="BS6" s="31"/>
      <c r="BT6" s="31"/>
      <c r="BU6" s="31"/>
      <c r="BV6" s="34" t="s">
        <v>189</v>
      </c>
      <c r="BW6" s="31"/>
      <c r="BX6" s="31"/>
      <c r="BY6" s="31"/>
      <c r="BZ6" s="34" t="s">
        <v>160</v>
      </c>
      <c r="CA6" s="31"/>
      <c r="CB6" s="31"/>
      <c r="CC6" s="31"/>
      <c r="CD6" s="34" t="s">
        <v>110</v>
      </c>
      <c r="CE6" s="31"/>
      <c r="CF6" s="31"/>
      <c r="CG6" s="31"/>
      <c r="CH6" s="34" t="s">
        <v>102</v>
      </c>
      <c r="CI6" s="31"/>
      <c r="CJ6" s="31"/>
      <c r="CK6" s="31"/>
      <c r="CL6" s="34" t="s">
        <v>111</v>
      </c>
      <c r="CM6" s="31"/>
      <c r="CN6" s="31"/>
      <c r="CO6" s="31"/>
      <c r="CP6" s="34" t="s">
        <v>148</v>
      </c>
      <c r="CQ6" s="31"/>
      <c r="CR6" s="31"/>
      <c r="CS6" s="31"/>
      <c r="CT6" s="34" t="s">
        <v>143</v>
      </c>
      <c r="CU6" s="31"/>
      <c r="CV6" s="31"/>
      <c r="CW6" s="31"/>
      <c r="CX6" s="34" t="s">
        <v>115</v>
      </c>
      <c r="CY6" s="31"/>
      <c r="CZ6" s="31"/>
      <c r="DA6" s="31"/>
      <c r="DB6" s="34" t="s">
        <v>102</v>
      </c>
      <c r="DC6" s="31"/>
      <c r="DD6" s="31"/>
      <c r="DE6" s="31"/>
      <c r="DF6" s="34" t="s">
        <v>119</v>
      </c>
      <c r="DG6" s="31"/>
      <c r="DH6" s="31"/>
      <c r="DI6" s="31"/>
      <c r="DJ6" s="34" t="s">
        <v>122</v>
      </c>
      <c r="DK6" s="31"/>
      <c r="DL6" s="31"/>
      <c r="DM6" s="31"/>
      <c r="DN6" s="19" t="s">
        <v>135</v>
      </c>
      <c r="DO6" s="31"/>
      <c r="DP6" s="31"/>
      <c r="DQ6" s="31"/>
      <c r="DR6" s="34" t="s">
        <v>427</v>
      </c>
      <c r="DS6" s="31"/>
      <c r="DT6" s="31"/>
      <c r="DU6" s="31"/>
      <c r="DV6" s="34" t="s">
        <v>208</v>
      </c>
      <c r="DW6" s="31"/>
      <c r="DX6" s="31"/>
      <c r="DY6" s="31"/>
      <c r="DZ6" s="34" t="s">
        <v>341</v>
      </c>
      <c r="EA6" s="31"/>
      <c r="EB6" s="31"/>
      <c r="EC6" s="31"/>
    </row>
    <row r="7" spans="1:133" ht="51" x14ac:dyDescent="0.25">
      <c r="B7" s="34" t="s">
        <v>40</v>
      </c>
      <c r="C7" s="31"/>
      <c r="D7" s="31"/>
      <c r="E7" s="31"/>
      <c r="F7" s="34" t="s">
        <v>47</v>
      </c>
      <c r="G7" s="31"/>
      <c r="H7" s="31"/>
      <c r="I7" s="31"/>
      <c r="J7" s="34" t="s">
        <v>43</v>
      </c>
      <c r="K7" s="31"/>
      <c r="L7" s="31"/>
      <c r="M7" s="31"/>
      <c r="N7" s="34" t="s">
        <v>86</v>
      </c>
      <c r="O7" s="31"/>
      <c r="P7" s="31"/>
      <c r="Q7" s="31"/>
      <c r="R7" s="34" t="s">
        <v>72</v>
      </c>
      <c r="S7" s="31"/>
      <c r="T7" s="31"/>
      <c r="U7" s="31"/>
      <c r="V7" s="34" t="s">
        <v>99</v>
      </c>
      <c r="W7" s="31"/>
      <c r="X7" s="31"/>
      <c r="Y7" s="31"/>
      <c r="Z7" s="34" t="s">
        <v>197</v>
      </c>
      <c r="AA7" s="31"/>
      <c r="AB7" s="31"/>
      <c r="AC7" s="31"/>
      <c r="AD7" s="34" t="s">
        <v>68</v>
      </c>
      <c r="AE7" s="31"/>
      <c r="AF7" s="31"/>
      <c r="AG7" s="31"/>
      <c r="AH7" s="34" t="s">
        <v>82</v>
      </c>
      <c r="AI7" s="31"/>
      <c r="AJ7" s="31"/>
      <c r="AK7" s="31"/>
      <c r="AL7" s="34" t="s">
        <v>90</v>
      </c>
      <c r="AM7" s="31"/>
      <c r="AN7" s="31"/>
      <c r="AO7" s="31"/>
      <c r="AP7" s="34" t="s">
        <v>151</v>
      </c>
      <c r="AQ7" s="31"/>
      <c r="AR7" s="31"/>
      <c r="AS7" s="31"/>
      <c r="AT7" s="34" t="s">
        <v>95</v>
      </c>
      <c r="AU7" s="31"/>
      <c r="AV7" s="31"/>
      <c r="AW7" s="31"/>
      <c r="AX7" s="34" t="s">
        <v>129</v>
      </c>
      <c r="AY7" s="31"/>
      <c r="AZ7" s="31"/>
      <c r="BA7" s="31"/>
      <c r="BB7" s="34" t="s">
        <v>185</v>
      </c>
      <c r="BC7" s="31"/>
      <c r="BD7" s="31"/>
      <c r="BE7" s="31"/>
      <c r="BF7" s="34" t="s">
        <v>149</v>
      </c>
      <c r="BG7" s="31"/>
      <c r="BH7" s="31"/>
      <c r="BI7" s="31"/>
      <c r="BJ7" s="34" t="s">
        <v>62</v>
      </c>
      <c r="BK7" s="31"/>
      <c r="BL7" s="31"/>
      <c r="BM7" s="31"/>
      <c r="BN7" s="34" t="s">
        <v>108</v>
      </c>
      <c r="BO7" s="31"/>
      <c r="BP7" s="31"/>
      <c r="BQ7" s="31"/>
      <c r="BR7" s="34" t="s">
        <v>421</v>
      </c>
      <c r="BS7" s="31"/>
      <c r="BT7" s="31"/>
      <c r="BU7" s="31"/>
      <c r="BV7" s="34" t="s">
        <v>188</v>
      </c>
      <c r="BW7" s="31"/>
      <c r="BX7" s="31"/>
      <c r="BY7" s="31"/>
      <c r="BZ7" s="34" t="s">
        <v>171</v>
      </c>
      <c r="CA7" s="31"/>
      <c r="CB7" s="31"/>
      <c r="CC7" s="31"/>
      <c r="CD7" s="34" t="s">
        <v>365</v>
      </c>
      <c r="CE7" s="31"/>
      <c r="CF7" s="31"/>
      <c r="CG7" s="31"/>
      <c r="CH7" s="34" t="s">
        <v>103</v>
      </c>
      <c r="CI7" s="31"/>
      <c r="CJ7" s="31"/>
      <c r="CK7" s="31"/>
      <c r="CL7" s="34" t="s">
        <v>113</v>
      </c>
      <c r="CM7" s="31"/>
      <c r="CN7" s="31"/>
      <c r="CO7" s="31"/>
      <c r="CP7" s="34" t="s">
        <v>425</v>
      </c>
      <c r="CQ7" s="31"/>
      <c r="CR7" s="31"/>
      <c r="CS7" s="31"/>
      <c r="CT7" s="34" t="s">
        <v>144</v>
      </c>
      <c r="CU7" s="31"/>
      <c r="CV7" s="31"/>
      <c r="CW7" s="31"/>
      <c r="CX7" s="34" t="s">
        <v>117</v>
      </c>
      <c r="CY7" s="31"/>
      <c r="CZ7" s="31"/>
      <c r="DA7" s="31"/>
      <c r="DB7" s="34" t="s">
        <v>103</v>
      </c>
      <c r="DC7" s="31"/>
      <c r="DD7" s="31"/>
      <c r="DE7" s="31"/>
      <c r="DF7" s="34" t="s">
        <v>120</v>
      </c>
      <c r="DG7" s="31"/>
      <c r="DH7" s="31"/>
      <c r="DI7" s="31"/>
      <c r="DJ7" s="34" t="s">
        <v>123</v>
      </c>
      <c r="DK7" s="31"/>
      <c r="DL7" s="31"/>
      <c r="DM7" s="31"/>
      <c r="DN7" s="19" t="s">
        <v>154</v>
      </c>
      <c r="DO7" s="31"/>
      <c r="DP7" s="31"/>
      <c r="DQ7" s="31"/>
      <c r="DR7" s="34" t="s">
        <v>62</v>
      </c>
      <c r="DS7" s="31"/>
      <c r="DT7" s="31"/>
      <c r="DU7" s="31"/>
      <c r="DV7" s="34" t="s">
        <v>207</v>
      </c>
      <c r="DW7" s="31"/>
      <c r="DX7" s="31"/>
      <c r="DY7" s="31"/>
      <c r="DZ7" s="34" t="s">
        <v>342</v>
      </c>
      <c r="EA7" s="31"/>
      <c r="EB7" s="31"/>
      <c r="EC7" s="31"/>
    </row>
    <row r="8" spans="1:133" ht="63.75" x14ac:dyDescent="0.25">
      <c r="B8" s="34" t="s">
        <v>41</v>
      </c>
      <c r="C8" s="31"/>
      <c r="D8" s="31"/>
      <c r="E8" s="31"/>
      <c r="F8" s="34" t="s">
        <v>48</v>
      </c>
      <c r="G8" s="31"/>
      <c r="H8" s="31"/>
      <c r="I8" s="31"/>
      <c r="J8" s="34" t="s">
        <v>200</v>
      </c>
      <c r="K8" s="31"/>
      <c r="L8" s="31"/>
      <c r="M8" s="31"/>
      <c r="N8" s="34" t="s">
        <v>413</v>
      </c>
      <c r="O8" s="31"/>
      <c r="P8" s="31"/>
      <c r="Q8" s="31"/>
      <c r="R8" s="34" t="s">
        <v>73</v>
      </c>
      <c r="S8" s="31"/>
      <c r="T8" s="31"/>
      <c r="U8" s="31"/>
      <c r="V8" s="34" t="s">
        <v>414</v>
      </c>
      <c r="W8" s="31"/>
      <c r="X8" s="31"/>
      <c r="Y8" s="31"/>
      <c r="Z8" s="34" t="s">
        <v>198</v>
      </c>
      <c r="AA8" s="31"/>
      <c r="AB8" s="31"/>
      <c r="AC8" s="31"/>
      <c r="AD8" s="34" t="s">
        <v>126</v>
      </c>
      <c r="AE8" s="31"/>
      <c r="AF8" s="31"/>
      <c r="AG8" s="31"/>
      <c r="AH8" s="34" t="s">
        <v>68</v>
      </c>
      <c r="AI8" s="31"/>
      <c r="AJ8" s="31"/>
      <c r="AK8" s="31"/>
      <c r="AL8" s="34" t="s">
        <v>152</v>
      </c>
      <c r="AM8" s="31"/>
      <c r="AN8" s="31"/>
      <c r="AO8" s="31"/>
      <c r="AP8" s="34" t="s">
        <v>62</v>
      </c>
      <c r="AQ8" s="31"/>
      <c r="AR8" s="31"/>
      <c r="AS8" s="31"/>
      <c r="AT8" s="34" t="s">
        <v>100</v>
      </c>
      <c r="AU8" s="31"/>
      <c r="AV8" s="31"/>
      <c r="AW8" s="31"/>
      <c r="AX8" s="34" t="s">
        <v>149</v>
      </c>
      <c r="AY8" s="31"/>
      <c r="AZ8" s="31"/>
      <c r="BA8" s="31"/>
      <c r="BB8" s="34" t="s">
        <v>186</v>
      </c>
      <c r="BC8" s="31"/>
      <c r="BD8" s="31"/>
      <c r="BE8" s="31"/>
      <c r="BF8" s="34" t="s">
        <v>130</v>
      </c>
      <c r="BG8" s="31"/>
      <c r="BH8" s="31"/>
      <c r="BI8" s="31"/>
      <c r="BJ8" s="34" t="s">
        <v>13</v>
      </c>
      <c r="BK8" s="31"/>
      <c r="BL8" s="31"/>
      <c r="BM8" s="31"/>
      <c r="BN8" s="34" t="s">
        <v>163</v>
      </c>
      <c r="BO8" s="31"/>
      <c r="BP8" s="31"/>
      <c r="BQ8" s="31"/>
      <c r="BR8" s="34" t="s">
        <v>62</v>
      </c>
      <c r="BS8" s="31"/>
      <c r="BT8" s="31"/>
      <c r="BU8" s="31"/>
      <c r="BV8" s="34" t="s">
        <v>421</v>
      </c>
      <c r="BW8" s="31"/>
      <c r="BX8" s="31"/>
      <c r="BY8" s="31"/>
      <c r="BZ8" s="34" t="s">
        <v>172</v>
      </c>
      <c r="CA8" s="31"/>
      <c r="CB8" s="31"/>
      <c r="CC8" s="31"/>
      <c r="CD8" s="34" t="s">
        <v>404</v>
      </c>
      <c r="CE8" s="31"/>
      <c r="CF8" s="31"/>
      <c r="CG8" s="31"/>
      <c r="CH8" s="34" t="s">
        <v>104</v>
      </c>
      <c r="CI8" s="31"/>
      <c r="CJ8" s="31"/>
      <c r="CK8" s="31"/>
      <c r="CL8" s="34" t="s">
        <v>194</v>
      </c>
      <c r="CM8" s="31"/>
      <c r="CN8" s="31"/>
      <c r="CO8" s="31"/>
      <c r="CP8" s="34" t="s">
        <v>62</v>
      </c>
      <c r="CQ8" s="31"/>
      <c r="CR8" s="31"/>
      <c r="CS8" s="31"/>
      <c r="CT8" s="34" t="s">
        <v>150</v>
      </c>
      <c r="CU8" s="31"/>
      <c r="CV8" s="31"/>
      <c r="CW8" s="31"/>
      <c r="CX8" s="34" t="s">
        <v>138</v>
      </c>
      <c r="CY8" s="31"/>
      <c r="CZ8" s="31"/>
      <c r="DA8" s="31"/>
      <c r="DB8" s="34" t="s">
        <v>104</v>
      </c>
      <c r="DC8" s="31"/>
      <c r="DD8" s="31"/>
      <c r="DE8" s="31"/>
      <c r="DF8" s="34" t="s">
        <v>387</v>
      </c>
      <c r="DG8" s="31"/>
      <c r="DH8" s="31"/>
      <c r="DI8" s="31"/>
      <c r="DJ8" s="34" t="s">
        <v>124</v>
      </c>
      <c r="DK8" s="31"/>
      <c r="DL8" s="31"/>
      <c r="DM8" s="31"/>
      <c r="DN8" s="19" t="s">
        <v>155</v>
      </c>
      <c r="DO8" s="31"/>
      <c r="DP8" s="31"/>
      <c r="DQ8" s="31"/>
      <c r="DR8" s="34" t="s">
        <v>13</v>
      </c>
      <c r="DS8" s="31"/>
      <c r="DT8" s="31"/>
      <c r="DU8" s="31"/>
      <c r="DV8" s="34" t="s">
        <v>209</v>
      </c>
      <c r="DW8" s="31"/>
      <c r="DX8" s="31"/>
      <c r="DY8" s="31"/>
      <c r="DZ8" s="36" t="s">
        <v>339</v>
      </c>
      <c r="EA8" s="31"/>
      <c r="EB8" s="31"/>
      <c r="EC8" s="31"/>
    </row>
    <row r="9" spans="1:133" ht="38.25" x14ac:dyDescent="0.25">
      <c r="B9" s="34" t="s">
        <v>65</v>
      </c>
      <c r="C9" s="31"/>
      <c r="D9" s="31"/>
      <c r="E9" s="31"/>
      <c r="F9" s="34" t="s">
        <v>411</v>
      </c>
      <c r="G9" s="31"/>
      <c r="H9" s="31"/>
      <c r="I9" s="31"/>
      <c r="J9" s="34" t="s">
        <v>201</v>
      </c>
      <c r="K9" s="31"/>
      <c r="L9" s="31"/>
      <c r="M9" s="31"/>
      <c r="N9" s="34" t="s">
        <v>440</v>
      </c>
      <c r="O9" s="31"/>
      <c r="P9" s="31"/>
      <c r="Q9" s="31"/>
      <c r="R9" s="34" t="s">
        <v>74</v>
      </c>
      <c r="S9" s="31"/>
      <c r="T9" s="31"/>
      <c r="U9" s="31"/>
      <c r="V9" s="34" t="s">
        <v>62</v>
      </c>
      <c r="W9" s="31"/>
      <c r="X9" s="31"/>
      <c r="Y9" s="31"/>
      <c r="Z9" s="34" t="s">
        <v>199</v>
      </c>
      <c r="AA9" s="31"/>
      <c r="AB9" s="31"/>
      <c r="AC9" s="31"/>
      <c r="AD9" s="34" t="s">
        <v>127</v>
      </c>
      <c r="AE9" s="31"/>
      <c r="AF9" s="31"/>
      <c r="AG9" s="31"/>
      <c r="AH9" s="34" t="s">
        <v>85</v>
      </c>
      <c r="AI9" s="31"/>
      <c r="AJ9" s="31"/>
      <c r="AK9" s="31"/>
      <c r="AL9" s="34" t="s">
        <v>153</v>
      </c>
      <c r="AM9" s="31"/>
      <c r="AN9" s="31"/>
      <c r="AO9" s="31"/>
      <c r="AP9" s="34" t="s">
        <v>13</v>
      </c>
      <c r="AQ9" s="31"/>
      <c r="AR9" s="31"/>
      <c r="AS9" s="31"/>
      <c r="AT9" s="34" t="s">
        <v>157</v>
      </c>
      <c r="AU9" s="31"/>
      <c r="AV9" s="31"/>
      <c r="AW9" s="31"/>
      <c r="AX9" s="34" t="s">
        <v>416</v>
      </c>
      <c r="AY9" s="31"/>
      <c r="AZ9" s="31"/>
      <c r="BA9" s="31"/>
      <c r="BB9" s="34" t="s">
        <v>417</v>
      </c>
      <c r="BC9" s="31"/>
      <c r="BD9" s="31"/>
      <c r="BE9" s="31"/>
      <c r="BF9" s="34" t="s">
        <v>131</v>
      </c>
      <c r="BG9" s="31"/>
      <c r="BH9" s="31"/>
      <c r="BI9" s="31"/>
      <c r="BJ9" s="36" t="s">
        <v>0</v>
      </c>
      <c r="BK9" s="31"/>
      <c r="BL9" s="31"/>
      <c r="BM9" s="31"/>
      <c r="BN9" s="34" t="s">
        <v>164</v>
      </c>
      <c r="BO9" s="31"/>
      <c r="BP9" s="31"/>
      <c r="BQ9" s="31"/>
      <c r="BR9" s="34" t="s">
        <v>13</v>
      </c>
      <c r="BS9" s="31"/>
      <c r="BT9" s="31"/>
      <c r="BU9" s="31"/>
      <c r="BV9" s="34" t="s">
        <v>62</v>
      </c>
      <c r="BW9" s="31"/>
      <c r="BX9" s="31"/>
      <c r="BY9" s="31"/>
      <c r="BZ9" s="34" t="s">
        <v>162</v>
      </c>
      <c r="CA9" s="31"/>
      <c r="CB9" s="31"/>
      <c r="CC9" s="31"/>
      <c r="CD9" s="34" t="s">
        <v>344</v>
      </c>
      <c r="CE9" s="31"/>
      <c r="CF9" s="31"/>
      <c r="CG9" s="31"/>
      <c r="CH9" s="34" t="s">
        <v>105</v>
      </c>
      <c r="CI9" s="31"/>
      <c r="CJ9" s="31"/>
      <c r="CK9" s="31"/>
      <c r="CL9" s="34" t="s">
        <v>424</v>
      </c>
      <c r="CM9" s="31"/>
      <c r="CN9" s="31"/>
      <c r="CO9" s="31"/>
      <c r="CP9" s="34" t="s">
        <v>13</v>
      </c>
      <c r="CQ9" s="31"/>
      <c r="CR9" s="31"/>
      <c r="CS9" s="31"/>
      <c r="CT9" s="34" t="s">
        <v>175</v>
      </c>
      <c r="CU9" s="31"/>
      <c r="CV9" s="31"/>
      <c r="CW9" s="31"/>
      <c r="CX9" s="34" t="s">
        <v>142</v>
      </c>
      <c r="CY9" s="31"/>
      <c r="CZ9" s="31"/>
      <c r="DA9" s="31"/>
      <c r="DB9" s="34" t="s">
        <v>105</v>
      </c>
      <c r="DC9" s="31"/>
      <c r="DD9" s="31"/>
      <c r="DE9" s="31"/>
      <c r="DF9" s="34" t="s">
        <v>426</v>
      </c>
      <c r="DG9" s="31"/>
      <c r="DH9" s="31"/>
      <c r="DI9" s="31"/>
      <c r="DJ9" s="34" t="s">
        <v>213</v>
      </c>
      <c r="DK9" s="31"/>
      <c r="DL9" s="31"/>
      <c r="DM9" s="31"/>
      <c r="DN9" s="19" t="s">
        <v>156</v>
      </c>
      <c r="DO9" s="31"/>
      <c r="DP9" s="31"/>
      <c r="DQ9" s="31"/>
      <c r="DR9" s="36" t="s">
        <v>0</v>
      </c>
      <c r="DS9" s="31"/>
      <c r="DT9" s="31"/>
      <c r="DU9" s="31"/>
      <c r="DV9" s="34" t="s">
        <v>210</v>
      </c>
      <c r="DW9" s="31"/>
      <c r="DX9" s="31"/>
      <c r="DY9" s="31"/>
      <c r="DZ9" s="19"/>
      <c r="EA9" s="31"/>
      <c r="EB9" s="31"/>
      <c r="EC9" s="31"/>
    </row>
    <row r="10" spans="1:133" ht="38.25" x14ac:dyDescent="0.25">
      <c r="B10" s="34" t="s">
        <v>62</v>
      </c>
      <c r="C10" s="31"/>
      <c r="D10" s="31"/>
      <c r="E10" s="31"/>
      <c r="F10" s="34" t="s">
        <v>62</v>
      </c>
      <c r="G10" s="31"/>
      <c r="H10" s="31"/>
      <c r="I10" s="31"/>
      <c r="J10" s="34" t="s">
        <v>345</v>
      </c>
      <c r="K10" s="31"/>
      <c r="L10" s="31"/>
      <c r="M10" s="31"/>
      <c r="N10" s="34" t="s">
        <v>62</v>
      </c>
      <c r="O10" s="31"/>
      <c r="P10" s="31"/>
      <c r="Q10" s="31"/>
      <c r="R10" s="34" t="s">
        <v>76</v>
      </c>
      <c r="S10" s="31"/>
      <c r="T10" s="31"/>
      <c r="U10" s="31"/>
      <c r="V10" s="34" t="s">
        <v>13</v>
      </c>
      <c r="W10" s="31"/>
      <c r="X10" s="31"/>
      <c r="Y10" s="31"/>
      <c r="Z10" s="34" t="s">
        <v>350</v>
      </c>
      <c r="AA10" s="31"/>
      <c r="AB10" s="31"/>
      <c r="AC10" s="31"/>
      <c r="AD10" s="34" t="s">
        <v>85</v>
      </c>
      <c r="AE10" s="31"/>
      <c r="AF10" s="31"/>
      <c r="AG10" s="31"/>
      <c r="AH10" s="34" t="s">
        <v>125</v>
      </c>
      <c r="AI10" s="31"/>
      <c r="AJ10" s="31"/>
      <c r="AK10" s="31"/>
      <c r="AL10" s="34" t="s">
        <v>62</v>
      </c>
      <c r="AM10" s="31"/>
      <c r="AN10" s="31"/>
      <c r="AO10" s="31"/>
      <c r="AP10" s="36" t="s">
        <v>0</v>
      </c>
      <c r="AQ10" s="31"/>
      <c r="AR10" s="31"/>
      <c r="AS10" s="31"/>
      <c r="AT10" s="34" t="s">
        <v>158</v>
      </c>
      <c r="AU10" s="31"/>
      <c r="AV10" s="31"/>
      <c r="AW10" s="31"/>
      <c r="AX10" s="34" t="s">
        <v>62</v>
      </c>
      <c r="AY10" s="31"/>
      <c r="AZ10" s="31"/>
      <c r="BA10" s="31"/>
      <c r="BB10" s="34" t="s">
        <v>62</v>
      </c>
      <c r="BC10" s="31"/>
      <c r="BD10" s="31"/>
      <c r="BE10" s="31"/>
      <c r="BF10" s="34" t="s">
        <v>133</v>
      </c>
      <c r="BG10" s="31"/>
      <c r="BH10" s="31"/>
      <c r="BI10" s="31"/>
      <c r="BJ10" s="19"/>
      <c r="BK10" s="31"/>
      <c r="BL10" s="31"/>
      <c r="BM10" s="31"/>
      <c r="BN10" s="34" t="s">
        <v>202</v>
      </c>
      <c r="BO10" s="31"/>
      <c r="BP10" s="31"/>
      <c r="BQ10" s="31"/>
      <c r="BR10" s="36" t="s">
        <v>0</v>
      </c>
      <c r="BS10" s="31"/>
      <c r="BT10" s="31"/>
      <c r="BU10" s="31"/>
      <c r="BV10" s="34" t="s">
        <v>13</v>
      </c>
      <c r="BW10" s="31"/>
      <c r="BX10" s="31"/>
      <c r="BY10" s="31"/>
      <c r="BZ10" s="34" t="s">
        <v>326</v>
      </c>
      <c r="CA10" s="31"/>
      <c r="CB10" s="31"/>
      <c r="CC10" s="31"/>
      <c r="CD10" s="34" t="s">
        <v>343</v>
      </c>
      <c r="CE10" s="31"/>
      <c r="CF10" s="31"/>
      <c r="CG10" s="31"/>
      <c r="CH10" s="34" t="s">
        <v>174</v>
      </c>
      <c r="CI10" s="31"/>
      <c r="CJ10" s="31"/>
      <c r="CK10" s="31"/>
      <c r="CL10" s="34" t="s">
        <v>62</v>
      </c>
      <c r="CM10" s="31"/>
      <c r="CN10" s="31"/>
      <c r="CO10" s="31"/>
      <c r="CP10" s="36" t="s">
        <v>0</v>
      </c>
      <c r="CQ10" s="31"/>
      <c r="CR10" s="31"/>
      <c r="CS10" s="31"/>
      <c r="CT10" s="34" t="s">
        <v>180</v>
      </c>
      <c r="CU10" s="31"/>
      <c r="CV10" s="31"/>
      <c r="CW10" s="31"/>
      <c r="CX10" s="34" t="s">
        <v>424</v>
      </c>
      <c r="CY10" s="31"/>
      <c r="CZ10" s="31"/>
      <c r="DA10" s="31"/>
      <c r="DB10" s="34" t="s">
        <v>174</v>
      </c>
      <c r="DC10" s="31"/>
      <c r="DD10" s="31"/>
      <c r="DE10" s="31"/>
      <c r="DF10" s="34" t="s">
        <v>62</v>
      </c>
      <c r="DG10" s="31"/>
      <c r="DH10" s="31"/>
      <c r="DI10" s="31"/>
      <c r="DJ10" s="34" t="s">
        <v>62</v>
      </c>
      <c r="DK10" s="31"/>
      <c r="DL10" s="31"/>
      <c r="DM10" s="31"/>
      <c r="DN10" s="19" t="s">
        <v>427</v>
      </c>
      <c r="DO10" s="31"/>
      <c r="DP10" s="31"/>
      <c r="DQ10" s="31"/>
      <c r="DR10" s="19"/>
      <c r="DS10" s="31"/>
      <c r="DT10" s="31"/>
      <c r="DU10" s="31"/>
      <c r="DV10" s="34" t="s">
        <v>211</v>
      </c>
      <c r="DW10" s="31"/>
      <c r="DX10" s="31"/>
      <c r="DY10" s="31"/>
      <c r="DZ10" s="19"/>
      <c r="EA10" s="31"/>
      <c r="EB10" s="31"/>
      <c r="EC10" s="31"/>
    </row>
    <row r="11" spans="1:133" ht="38.25" x14ac:dyDescent="0.25">
      <c r="B11" s="34" t="s">
        <v>87</v>
      </c>
      <c r="C11" s="31"/>
      <c r="D11" s="31"/>
      <c r="E11" s="31"/>
      <c r="F11" s="34" t="s">
        <v>13</v>
      </c>
      <c r="G11" s="31"/>
      <c r="H11" s="31"/>
      <c r="I11" s="31"/>
      <c r="J11" s="34" t="s">
        <v>346</v>
      </c>
      <c r="K11" s="31"/>
      <c r="L11" s="31"/>
      <c r="M11" s="31"/>
      <c r="N11" s="34" t="s">
        <v>13</v>
      </c>
      <c r="O11" s="31"/>
      <c r="P11" s="31"/>
      <c r="Q11" s="31"/>
      <c r="R11" s="34" t="s">
        <v>77</v>
      </c>
      <c r="S11" s="31"/>
      <c r="T11" s="31"/>
      <c r="U11" s="31"/>
      <c r="V11" s="36" t="s">
        <v>0</v>
      </c>
      <c r="W11" s="31"/>
      <c r="X11" s="31"/>
      <c r="Y11" s="31"/>
      <c r="Z11" s="34" t="s">
        <v>412</v>
      </c>
      <c r="AA11" s="31"/>
      <c r="AB11" s="31"/>
      <c r="AC11" s="31"/>
      <c r="AD11" s="34" t="s">
        <v>69</v>
      </c>
      <c r="AE11" s="31"/>
      <c r="AF11" s="31"/>
      <c r="AG11" s="31"/>
      <c r="AH11" s="34" t="s">
        <v>169</v>
      </c>
      <c r="AI11" s="31"/>
      <c r="AJ11" s="31"/>
      <c r="AK11" s="31"/>
      <c r="AL11" s="34" t="s">
        <v>87</v>
      </c>
      <c r="AM11" s="31"/>
      <c r="AN11" s="31"/>
      <c r="AO11" s="31"/>
      <c r="AP11" s="19"/>
      <c r="AQ11" s="31"/>
      <c r="AR11" s="31"/>
      <c r="AS11" s="31"/>
      <c r="AT11" s="34" t="s">
        <v>173</v>
      </c>
      <c r="AU11" s="31"/>
      <c r="AV11" s="31"/>
      <c r="AW11" s="31"/>
      <c r="AX11" s="34" t="s">
        <v>13</v>
      </c>
      <c r="AY11" s="31"/>
      <c r="AZ11" s="31"/>
      <c r="BA11" s="31"/>
      <c r="BB11" s="34" t="s">
        <v>13</v>
      </c>
      <c r="BC11" s="31"/>
      <c r="BD11" s="31"/>
      <c r="BE11" s="31"/>
      <c r="BF11" s="34" t="s">
        <v>136</v>
      </c>
      <c r="BG11" s="31"/>
      <c r="BH11" s="31"/>
      <c r="BI11" s="31"/>
      <c r="BJ11" s="19"/>
      <c r="BK11" s="31"/>
      <c r="BL11" s="31"/>
      <c r="BM11" s="31"/>
      <c r="BN11" s="34" t="s">
        <v>161</v>
      </c>
      <c r="BO11" s="31"/>
      <c r="BP11" s="31"/>
      <c r="BQ11" s="31"/>
      <c r="BR11" s="19"/>
      <c r="BS11" s="31"/>
      <c r="BT11" s="31"/>
      <c r="BU11" s="31"/>
      <c r="BV11" s="36" t="s">
        <v>0</v>
      </c>
      <c r="BW11" s="31"/>
      <c r="BX11" s="31"/>
      <c r="BY11" s="31"/>
      <c r="BZ11" s="34" t="s">
        <v>405</v>
      </c>
      <c r="CA11" s="31"/>
      <c r="CB11" s="31"/>
      <c r="CC11" s="31"/>
      <c r="CD11" s="34" t="s">
        <v>387</v>
      </c>
      <c r="CE11" s="31"/>
      <c r="CF11" s="31"/>
      <c r="CG11" s="31"/>
      <c r="CH11" s="34" t="s">
        <v>176</v>
      </c>
      <c r="CI11" s="31"/>
      <c r="CJ11" s="31"/>
      <c r="CK11" s="31"/>
      <c r="CL11" s="34" t="s">
        <v>13</v>
      </c>
      <c r="CM11" s="31"/>
      <c r="CN11" s="31"/>
      <c r="CO11" s="31"/>
      <c r="CP11" s="19"/>
      <c r="CQ11" s="31"/>
      <c r="CR11" s="31"/>
      <c r="CS11" s="31"/>
      <c r="CT11" s="34" t="s">
        <v>181</v>
      </c>
      <c r="CU11" s="31"/>
      <c r="CV11" s="31"/>
      <c r="CW11" s="31"/>
      <c r="CX11" s="34" t="s">
        <v>62</v>
      </c>
      <c r="CY11" s="31"/>
      <c r="CZ11" s="31"/>
      <c r="DA11" s="31"/>
      <c r="DB11" s="34" t="s">
        <v>176</v>
      </c>
      <c r="DC11" s="31"/>
      <c r="DD11" s="31"/>
      <c r="DE11" s="31"/>
      <c r="DF11" s="34" t="s">
        <v>86</v>
      </c>
      <c r="DG11" s="31"/>
      <c r="DH11" s="31"/>
      <c r="DI11" s="31"/>
      <c r="DJ11" s="34" t="s">
        <v>13</v>
      </c>
      <c r="DK11" s="31"/>
      <c r="DL11" s="31"/>
      <c r="DM11" s="31"/>
      <c r="DN11" s="19" t="s">
        <v>62</v>
      </c>
      <c r="DO11" s="31"/>
      <c r="DP11" s="31"/>
      <c r="DQ11" s="31"/>
      <c r="DR11" s="19"/>
      <c r="DS11" s="31"/>
      <c r="DT11" s="31"/>
      <c r="DU11" s="31"/>
      <c r="DV11" s="34" t="s">
        <v>212</v>
      </c>
      <c r="DW11" s="31"/>
      <c r="DX11" s="31"/>
      <c r="DY11" s="31"/>
      <c r="DZ11" s="19"/>
      <c r="EA11" s="31"/>
      <c r="EB11" s="31"/>
      <c r="EC11" s="31"/>
    </row>
    <row r="12" spans="1:133" ht="38.25" x14ac:dyDescent="0.25">
      <c r="B12" s="34" t="s">
        <v>13</v>
      </c>
      <c r="C12" s="31"/>
      <c r="D12" s="31"/>
      <c r="E12" s="31"/>
      <c r="F12" s="36" t="s">
        <v>0</v>
      </c>
      <c r="G12" s="31"/>
      <c r="H12" s="31"/>
      <c r="I12" s="31"/>
      <c r="J12" s="34" t="s">
        <v>347</v>
      </c>
      <c r="K12" s="31"/>
      <c r="L12" s="31"/>
      <c r="M12" s="31"/>
      <c r="N12" s="36" t="s">
        <v>0</v>
      </c>
      <c r="O12" s="31"/>
      <c r="P12" s="31"/>
      <c r="Q12" s="31"/>
      <c r="R12" s="34" t="s">
        <v>96</v>
      </c>
      <c r="S12" s="31"/>
      <c r="T12" s="31"/>
      <c r="U12" s="31"/>
      <c r="V12" s="19"/>
      <c r="W12" s="31"/>
      <c r="X12" s="31"/>
      <c r="Y12" s="31"/>
      <c r="Z12" s="34" t="s">
        <v>62</v>
      </c>
      <c r="AA12" s="31"/>
      <c r="AB12" s="31"/>
      <c r="AC12" s="31"/>
      <c r="AD12" s="34" t="s">
        <v>84</v>
      </c>
      <c r="AE12" s="31"/>
      <c r="AF12" s="31"/>
      <c r="AG12" s="31"/>
      <c r="AH12" s="34" t="s">
        <v>170</v>
      </c>
      <c r="AI12" s="31"/>
      <c r="AJ12" s="31"/>
      <c r="AK12" s="31"/>
      <c r="AL12" s="34" t="s">
        <v>13</v>
      </c>
      <c r="AM12" s="31"/>
      <c r="AN12" s="31"/>
      <c r="AO12" s="31"/>
      <c r="AP12" s="19"/>
      <c r="AQ12" s="31"/>
      <c r="AR12" s="31"/>
      <c r="AS12" s="31"/>
      <c r="AT12" s="34" t="s">
        <v>403</v>
      </c>
      <c r="AU12" s="31"/>
      <c r="AV12" s="31"/>
      <c r="AW12" s="31"/>
      <c r="AX12" s="36" t="s">
        <v>0</v>
      </c>
      <c r="AY12" s="31"/>
      <c r="AZ12" s="31"/>
      <c r="BA12" s="31"/>
      <c r="BB12" s="36" t="s">
        <v>0</v>
      </c>
      <c r="BC12" s="31"/>
      <c r="BD12" s="31"/>
      <c r="BE12" s="31"/>
      <c r="BF12" s="34" t="s">
        <v>137</v>
      </c>
      <c r="BG12" s="31"/>
      <c r="BH12" s="31"/>
      <c r="BI12" s="31"/>
      <c r="BJ12" s="19"/>
      <c r="BK12" s="31"/>
      <c r="BL12" s="31"/>
      <c r="BM12" s="31"/>
      <c r="BN12" s="34" t="s">
        <v>421</v>
      </c>
      <c r="BO12" s="31"/>
      <c r="BP12" s="31"/>
      <c r="BQ12" s="31"/>
      <c r="BR12" s="19"/>
      <c r="BS12" s="31"/>
      <c r="BT12" s="31"/>
      <c r="BU12" s="31"/>
      <c r="BV12" s="19"/>
      <c r="BW12" s="31"/>
      <c r="BX12" s="31"/>
      <c r="BY12" s="31"/>
      <c r="BZ12" s="34" t="s">
        <v>421</v>
      </c>
      <c r="CA12" s="31"/>
      <c r="CB12" s="31"/>
      <c r="CC12" s="31"/>
      <c r="CD12" s="34" t="s">
        <v>422</v>
      </c>
      <c r="CE12" s="31"/>
      <c r="CF12" s="31"/>
      <c r="CG12" s="31"/>
      <c r="CH12" s="34" t="s">
        <v>177</v>
      </c>
      <c r="CI12" s="31"/>
      <c r="CJ12" s="31"/>
      <c r="CK12" s="31"/>
      <c r="CL12" s="36" t="s">
        <v>0</v>
      </c>
      <c r="CM12" s="31"/>
      <c r="CN12" s="31"/>
      <c r="CO12" s="31"/>
      <c r="CP12" s="19"/>
      <c r="CQ12" s="31"/>
      <c r="CR12" s="31"/>
      <c r="CS12" s="31"/>
      <c r="CT12" s="34" t="s">
        <v>182</v>
      </c>
      <c r="CU12" s="31"/>
      <c r="CV12" s="31"/>
      <c r="CW12" s="31"/>
      <c r="CX12" s="34" t="s">
        <v>13</v>
      </c>
      <c r="CY12" s="31"/>
      <c r="CZ12" s="31"/>
      <c r="DA12" s="31"/>
      <c r="DB12" s="34" t="s">
        <v>177</v>
      </c>
      <c r="DC12" s="31"/>
      <c r="DD12" s="31"/>
      <c r="DE12" s="31"/>
      <c r="DF12" s="34" t="s">
        <v>13</v>
      </c>
      <c r="DG12" s="31"/>
      <c r="DH12" s="31"/>
      <c r="DI12" s="31"/>
      <c r="DJ12" s="36" t="s">
        <v>0</v>
      </c>
      <c r="DK12" s="31"/>
      <c r="DL12" s="31"/>
      <c r="DM12" s="31"/>
      <c r="DN12" s="19" t="s">
        <v>13</v>
      </c>
      <c r="DO12" s="31"/>
      <c r="DP12" s="31"/>
      <c r="DQ12" s="31"/>
      <c r="DR12" s="19"/>
      <c r="DS12" s="31"/>
      <c r="DT12" s="31"/>
      <c r="DU12" s="31"/>
      <c r="DV12" s="36" t="s">
        <v>339</v>
      </c>
      <c r="DW12" s="31"/>
      <c r="DX12" s="31"/>
      <c r="DY12" s="31"/>
      <c r="DZ12" s="19"/>
      <c r="EA12" s="31"/>
      <c r="EB12" s="31"/>
      <c r="EC12" s="31"/>
    </row>
    <row r="13" spans="1:133" ht="51" x14ac:dyDescent="0.25">
      <c r="B13" s="36" t="s">
        <v>0</v>
      </c>
      <c r="C13" s="31"/>
      <c r="D13" s="31"/>
      <c r="E13" s="31"/>
      <c r="F13" s="19"/>
      <c r="G13" s="31"/>
      <c r="H13" s="31"/>
      <c r="I13" s="31"/>
      <c r="J13" s="34" t="s">
        <v>348</v>
      </c>
      <c r="K13" s="31"/>
      <c r="L13" s="31"/>
      <c r="M13" s="31"/>
      <c r="N13" s="19"/>
      <c r="O13" s="31"/>
      <c r="P13" s="31"/>
      <c r="Q13" s="31"/>
      <c r="R13" s="34" t="s">
        <v>98</v>
      </c>
      <c r="S13" s="31"/>
      <c r="T13" s="31"/>
      <c r="U13" s="31"/>
      <c r="V13" s="19"/>
      <c r="W13" s="31"/>
      <c r="X13" s="31"/>
      <c r="Y13" s="31"/>
      <c r="Z13" s="34" t="s">
        <v>13</v>
      </c>
      <c r="AA13" s="31"/>
      <c r="AB13" s="31"/>
      <c r="AC13" s="31"/>
      <c r="AD13" s="34" t="s">
        <v>165</v>
      </c>
      <c r="AE13" s="31"/>
      <c r="AF13" s="31"/>
      <c r="AG13" s="31"/>
      <c r="AH13" s="34" t="s">
        <v>191</v>
      </c>
      <c r="AI13" s="31"/>
      <c r="AJ13" s="31"/>
      <c r="AK13" s="31"/>
      <c r="AL13" s="36" t="s">
        <v>0</v>
      </c>
      <c r="AM13" s="31"/>
      <c r="AN13" s="31"/>
      <c r="AO13" s="31"/>
      <c r="AP13" s="19"/>
      <c r="AQ13" s="31"/>
      <c r="AR13" s="31"/>
      <c r="AS13" s="31"/>
      <c r="AT13" s="34" t="s">
        <v>415</v>
      </c>
      <c r="AU13" s="31"/>
      <c r="AV13" s="31"/>
      <c r="AW13" s="31"/>
      <c r="AX13" s="19"/>
      <c r="AY13" s="31"/>
      <c r="AZ13" s="31"/>
      <c r="BA13" s="31"/>
      <c r="BB13" s="19"/>
      <c r="BC13" s="31"/>
      <c r="BD13" s="31"/>
      <c r="BE13" s="31"/>
      <c r="BF13" s="34" t="s">
        <v>141</v>
      </c>
      <c r="BG13" s="31"/>
      <c r="BH13" s="31"/>
      <c r="BI13" s="31"/>
      <c r="BJ13" s="19"/>
      <c r="BK13" s="31"/>
      <c r="BL13" s="31"/>
      <c r="BM13" s="31"/>
      <c r="BN13" s="34" t="s">
        <v>62</v>
      </c>
      <c r="BO13" s="31"/>
      <c r="BP13" s="31"/>
      <c r="BQ13" s="31"/>
      <c r="BR13" s="19"/>
      <c r="BS13" s="31"/>
      <c r="BT13" s="31"/>
      <c r="BU13" s="31"/>
      <c r="BV13" s="19"/>
      <c r="BW13" s="31"/>
      <c r="BX13" s="31"/>
      <c r="BY13" s="31"/>
      <c r="BZ13" s="34" t="s">
        <v>62</v>
      </c>
      <c r="CA13" s="31"/>
      <c r="CB13" s="31"/>
      <c r="CC13" s="31"/>
      <c r="CD13" s="34" t="s">
        <v>62</v>
      </c>
      <c r="CE13" s="31"/>
      <c r="CF13" s="31"/>
      <c r="CG13" s="31"/>
      <c r="CH13" s="34" t="s">
        <v>203</v>
      </c>
      <c r="CI13" s="31"/>
      <c r="CJ13" s="31"/>
      <c r="CK13" s="31"/>
      <c r="CL13" s="19"/>
      <c r="CM13" s="31"/>
      <c r="CN13" s="31"/>
      <c r="CO13" s="31"/>
      <c r="CP13" s="19"/>
      <c r="CQ13" s="31"/>
      <c r="CR13" s="31"/>
      <c r="CS13" s="31"/>
      <c r="CT13" s="34" t="s">
        <v>187</v>
      </c>
      <c r="CU13" s="31"/>
      <c r="CV13" s="31"/>
      <c r="CW13" s="31"/>
      <c r="CX13" s="36" t="s">
        <v>0</v>
      </c>
      <c r="CY13" s="31"/>
      <c r="CZ13" s="31"/>
      <c r="DA13" s="31"/>
      <c r="DB13" s="34" t="s">
        <v>203</v>
      </c>
      <c r="DC13" s="31"/>
      <c r="DD13" s="31"/>
      <c r="DE13" s="31"/>
      <c r="DF13" s="36" t="s">
        <v>0</v>
      </c>
      <c r="DG13" s="31"/>
      <c r="DH13" s="31"/>
      <c r="DI13" s="31"/>
      <c r="DJ13" s="19"/>
      <c r="DK13" s="31"/>
      <c r="DL13" s="31"/>
      <c r="DM13" s="31"/>
      <c r="DN13" s="20" t="s">
        <v>0</v>
      </c>
      <c r="DO13" s="31"/>
      <c r="DP13" s="31"/>
      <c r="DQ13" s="31"/>
      <c r="DR13" s="19"/>
      <c r="DS13" s="31"/>
      <c r="DT13" s="31"/>
      <c r="DU13" s="31"/>
      <c r="DV13" s="19"/>
      <c r="DW13" s="31"/>
      <c r="DX13" s="31"/>
      <c r="DY13" s="31"/>
      <c r="DZ13" s="19"/>
      <c r="EA13" s="31"/>
      <c r="EB13" s="31"/>
      <c r="EC13" s="31"/>
    </row>
    <row r="14" spans="1:133" ht="38.25" x14ac:dyDescent="0.25">
      <c r="B14" s="37"/>
      <c r="C14" s="31"/>
      <c r="D14" s="31"/>
      <c r="E14" s="31"/>
      <c r="F14" s="19"/>
      <c r="G14" s="31"/>
      <c r="H14" s="31"/>
      <c r="I14" s="31"/>
      <c r="J14" s="34" t="s">
        <v>349</v>
      </c>
      <c r="K14" s="31"/>
      <c r="L14" s="31"/>
      <c r="M14" s="31"/>
      <c r="N14" s="19"/>
      <c r="O14" s="31"/>
      <c r="P14" s="31"/>
      <c r="Q14" s="31"/>
      <c r="R14" s="34" t="s">
        <v>78</v>
      </c>
      <c r="S14" s="31"/>
      <c r="T14" s="31"/>
      <c r="U14" s="31"/>
      <c r="V14" s="19"/>
      <c r="W14" s="31"/>
      <c r="X14" s="31"/>
      <c r="Y14" s="31"/>
      <c r="Z14" s="36" t="s">
        <v>0</v>
      </c>
      <c r="AA14" s="31"/>
      <c r="AB14" s="31"/>
      <c r="AC14" s="31"/>
      <c r="AD14" s="34" t="s">
        <v>166</v>
      </c>
      <c r="AE14" s="31"/>
      <c r="AF14" s="31"/>
      <c r="AG14" s="31"/>
      <c r="AH14" s="34" t="s">
        <v>192</v>
      </c>
      <c r="AI14" s="31"/>
      <c r="AJ14" s="31"/>
      <c r="AK14" s="31"/>
      <c r="AL14" s="19"/>
      <c r="AM14" s="31"/>
      <c r="AN14" s="31"/>
      <c r="AO14" s="31"/>
      <c r="AP14" s="19"/>
      <c r="AQ14" s="31"/>
      <c r="AR14" s="31"/>
      <c r="AS14" s="31"/>
      <c r="AT14" s="34" t="s">
        <v>62</v>
      </c>
      <c r="AU14" s="31"/>
      <c r="AV14" s="31"/>
      <c r="AW14" s="31"/>
      <c r="AX14" s="19"/>
      <c r="AY14" s="31"/>
      <c r="AZ14" s="31"/>
      <c r="BA14" s="31"/>
      <c r="BB14" s="19"/>
      <c r="BC14" s="31"/>
      <c r="BD14" s="31"/>
      <c r="BE14" s="31"/>
      <c r="BF14" s="34" t="s">
        <v>178</v>
      </c>
      <c r="BG14" s="31"/>
      <c r="BH14" s="31"/>
      <c r="BI14" s="31"/>
      <c r="BJ14" s="19"/>
      <c r="BK14" s="31"/>
      <c r="BL14" s="31"/>
      <c r="BM14" s="31"/>
      <c r="BN14" s="34" t="s">
        <v>13</v>
      </c>
      <c r="BO14" s="31"/>
      <c r="BP14" s="31"/>
      <c r="BQ14" s="31"/>
      <c r="BR14" s="19"/>
      <c r="BS14" s="31"/>
      <c r="BT14" s="31"/>
      <c r="BU14" s="31"/>
      <c r="BV14" s="19"/>
      <c r="BW14" s="31"/>
      <c r="BX14" s="31"/>
      <c r="BY14" s="31"/>
      <c r="BZ14" s="34" t="s">
        <v>13</v>
      </c>
      <c r="CA14" s="31"/>
      <c r="CB14" s="31"/>
      <c r="CC14" s="31"/>
      <c r="CD14" s="34" t="s">
        <v>13</v>
      </c>
      <c r="CE14" s="31"/>
      <c r="CF14" s="31"/>
      <c r="CG14" s="31"/>
      <c r="CH14" s="34" t="s">
        <v>204</v>
      </c>
      <c r="CI14" s="31"/>
      <c r="CJ14" s="31"/>
      <c r="CK14" s="31"/>
      <c r="CL14" s="19"/>
      <c r="CM14" s="31"/>
      <c r="CN14" s="31"/>
      <c r="CO14" s="31"/>
      <c r="CP14" s="19"/>
      <c r="CQ14" s="31"/>
      <c r="CR14" s="31"/>
      <c r="CS14" s="31"/>
      <c r="CT14" s="34" t="s">
        <v>214</v>
      </c>
      <c r="CU14" s="31"/>
      <c r="CV14" s="31"/>
      <c r="CW14" s="31"/>
      <c r="CX14" s="19"/>
      <c r="CY14" s="31"/>
      <c r="CZ14" s="31"/>
      <c r="DA14" s="31"/>
      <c r="DB14" s="34" t="s">
        <v>204</v>
      </c>
      <c r="DC14" s="31"/>
      <c r="DD14" s="31"/>
      <c r="DE14" s="31"/>
      <c r="DF14" s="19"/>
      <c r="DG14" s="31"/>
      <c r="DH14" s="31"/>
      <c r="DI14" s="31"/>
      <c r="DJ14" s="19"/>
      <c r="DK14" s="31"/>
      <c r="DL14" s="31"/>
      <c r="DM14" s="31"/>
      <c r="DN14" s="19"/>
      <c r="DO14" s="31"/>
      <c r="DP14" s="31"/>
      <c r="DQ14" s="31"/>
      <c r="DR14" s="19"/>
      <c r="DS14" s="31"/>
      <c r="DT14" s="31"/>
      <c r="DU14" s="31"/>
      <c r="DV14" s="19"/>
      <c r="DW14" s="31"/>
      <c r="DX14" s="31"/>
      <c r="DY14" s="31"/>
      <c r="DZ14" s="19"/>
      <c r="EA14" s="31"/>
      <c r="EB14" s="31"/>
      <c r="EC14" s="31"/>
    </row>
    <row r="15" spans="1:133" ht="38.25" x14ac:dyDescent="0.25">
      <c r="B15" s="37"/>
      <c r="C15" s="31"/>
      <c r="D15" s="31"/>
      <c r="E15" s="31"/>
      <c r="F15" s="19"/>
      <c r="G15" s="31"/>
      <c r="H15" s="31"/>
      <c r="I15" s="31"/>
      <c r="J15" s="34" t="s">
        <v>351</v>
      </c>
      <c r="K15" s="31"/>
      <c r="L15" s="31"/>
      <c r="M15" s="31"/>
      <c r="N15" s="19"/>
      <c r="O15" s="31"/>
      <c r="P15" s="31"/>
      <c r="Q15" s="31"/>
      <c r="R15" s="34" t="s">
        <v>190</v>
      </c>
      <c r="S15" s="31"/>
      <c r="T15" s="31"/>
      <c r="U15" s="31"/>
      <c r="V15" s="19"/>
      <c r="W15" s="31"/>
      <c r="X15" s="31"/>
      <c r="Y15" s="31"/>
      <c r="Z15" s="19"/>
      <c r="AA15" s="31"/>
      <c r="AB15" s="31"/>
      <c r="AC15" s="31"/>
      <c r="AD15" s="34" t="s">
        <v>167</v>
      </c>
      <c r="AE15" s="31"/>
      <c r="AF15" s="31"/>
      <c r="AG15" s="31"/>
      <c r="AH15" s="34" t="s">
        <v>327</v>
      </c>
      <c r="AI15" s="31"/>
      <c r="AJ15" s="31"/>
      <c r="AK15" s="31"/>
      <c r="AL15" s="19"/>
      <c r="AM15" s="31"/>
      <c r="AN15" s="31"/>
      <c r="AO15" s="31"/>
      <c r="AP15" s="19"/>
      <c r="AQ15" s="31"/>
      <c r="AR15" s="31"/>
      <c r="AS15" s="31"/>
      <c r="AT15" s="34" t="s">
        <v>13</v>
      </c>
      <c r="AU15" s="31"/>
      <c r="AV15" s="31"/>
      <c r="AW15" s="31"/>
      <c r="AX15" s="19"/>
      <c r="AY15" s="31"/>
      <c r="AZ15" s="31"/>
      <c r="BA15" s="31"/>
      <c r="BB15" s="19"/>
      <c r="BC15" s="31"/>
      <c r="BD15" s="31"/>
      <c r="BE15" s="31"/>
      <c r="BF15" s="34" t="s">
        <v>179</v>
      </c>
      <c r="BG15" s="31"/>
      <c r="BH15" s="31"/>
      <c r="BI15" s="31"/>
      <c r="BJ15" s="19"/>
      <c r="BK15" s="31"/>
      <c r="BL15" s="31"/>
      <c r="BM15" s="31"/>
      <c r="BN15" s="36" t="s">
        <v>0</v>
      </c>
      <c r="BO15" s="31"/>
      <c r="BP15" s="31"/>
      <c r="BQ15" s="31"/>
      <c r="BR15" s="19"/>
      <c r="BS15" s="31"/>
      <c r="BT15" s="31"/>
      <c r="BU15" s="31"/>
      <c r="BV15" s="19"/>
      <c r="BW15" s="31"/>
      <c r="BX15" s="31"/>
      <c r="BY15" s="31"/>
      <c r="BZ15" s="36" t="s">
        <v>0</v>
      </c>
      <c r="CA15" s="31"/>
      <c r="CB15" s="31"/>
      <c r="CC15" s="31"/>
      <c r="CD15" s="36" t="s">
        <v>0</v>
      </c>
      <c r="CE15" s="31"/>
      <c r="CF15" s="31"/>
      <c r="CG15" s="31"/>
      <c r="CH15" s="34" t="s">
        <v>423</v>
      </c>
      <c r="CI15" s="31"/>
      <c r="CJ15" s="31"/>
      <c r="CK15" s="31"/>
      <c r="CL15" s="19"/>
      <c r="CM15" s="31"/>
      <c r="CN15" s="31"/>
      <c r="CO15" s="31"/>
      <c r="CP15" s="19"/>
      <c r="CQ15" s="31"/>
      <c r="CR15" s="31"/>
      <c r="CS15" s="31"/>
      <c r="CT15" s="34" t="s">
        <v>353</v>
      </c>
      <c r="CU15" s="31"/>
      <c r="CV15" s="31"/>
      <c r="CW15" s="31"/>
      <c r="CX15" s="19"/>
      <c r="CY15" s="31"/>
      <c r="CZ15" s="31"/>
      <c r="DA15" s="31"/>
      <c r="DB15" s="34" t="s">
        <v>112</v>
      </c>
      <c r="DC15" s="31"/>
      <c r="DD15" s="31"/>
      <c r="DE15" s="31"/>
      <c r="DF15" s="19"/>
      <c r="DG15" s="31"/>
      <c r="DH15" s="31"/>
      <c r="DI15" s="31"/>
      <c r="DJ15" s="19"/>
      <c r="DK15" s="31"/>
      <c r="DL15" s="31"/>
      <c r="DM15" s="31"/>
      <c r="DN15" s="19"/>
      <c r="DO15" s="31"/>
      <c r="DP15" s="31"/>
      <c r="DQ15" s="31"/>
      <c r="DR15" s="19"/>
      <c r="DS15" s="31"/>
      <c r="DT15" s="31"/>
      <c r="DU15" s="31"/>
      <c r="DV15" s="19"/>
      <c r="DW15" s="31"/>
      <c r="DX15" s="31"/>
      <c r="DY15" s="31"/>
      <c r="DZ15" s="19"/>
      <c r="EA15" s="31"/>
      <c r="EB15" s="31"/>
      <c r="EC15" s="31"/>
    </row>
    <row r="16" spans="1:133" ht="38.25" x14ac:dyDescent="0.25">
      <c r="B16" s="33"/>
      <c r="C16" s="31"/>
      <c r="D16" s="31"/>
      <c r="E16" s="31"/>
      <c r="F16" s="19"/>
      <c r="G16" s="31"/>
      <c r="H16" s="31"/>
      <c r="I16" s="31"/>
      <c r="J16" s="34" t="s">
        <v>344</v>
      </c>
      <c r="K16" s="31"/>
      <c r="L16" s="31"/>
      <c r="M16" s="31"/>
      <c r="N16" s="19"/>
      <c r="O16" s="31"/>
      <c r="P16" s="31"/>
      <c r="Q16" s="31"/>
      <c r="R16" s="34" t="s">
        <v>79</v>
      </c>
      <c r="S16" s="31"/>
      <c r="T16" s="31"/>
      <c r="U16" s="31"/>
      <c r="V16" s="19"/>
      <c r="W16" s="31"/>
      <c r="X16" s="31"/>
      <c r="Y16" s="31"/>
      <c r="Z16" s="19"/>
      <c r="AA16" s="31"/>
      <c r="AB16" s="31"/>
      <c r="AC16" s="31"/>
      <c r="AD16" s="34" t="s">
        <v>168</v>
      </c>
      <c r="AE16" s="31"/>
      <c r="AF16" s="31"/>
      <c r="AG16" s="31"/>
      <c r="AH16" s="34" t="s">
        <v>410</v>
      </c>
      <c r="AI16" s="31"/>
      <c r="AJ16" s="31"/>
      <c r="AK16" s="31"/>
      <c r="AL16" s="19"/>
      <c r="AM16" s="31"/>
      <c r="AN16" s="31"/>
      <c r="AO16" s="31"/>
      <c r="AP16" s="19"/>
      <c r="AQ16" s="31"/>
      <c r="AR16" s="31"/>
      <c r="AS16" s="31"/>
      <c r="AT16" s="36" t="s">
        <v>0</v>
      </c>
      <c r="AU16" s="31"/>
      <c r="AV16" s="31"/>
      <c r="AW16" s="31"/>
      <c r="AX16" s="19"/>
      <c r="AY16" s="31"/>
      <c r="AZ16" s="31"/>
      <c r="BA16" s="31"/>
      <c r="BB16" s="19"/>
      <c r="BC16" s="31"/>
      <c r="BD16" s="31"/>
      <c r="BE16" s="31"/>
      <c r="BF16" s="34" t="s">
        <v>352</v>
      </c>
      <c r="BG16" s="31"/>
      <c r="BH16" s="31"/>
      <c r="BI16" s="31"/>
      <c r="BJ16" s="19"/>
      <c r="BK16" s="31"/>
      <c r="BL16" s="31"/>
      <c r="BM16" s="31"/>
      <c r="BN16" s="19"/>
      <c r="BO16" s="31"/>
      <c r="BP16" s="31"/>
      <c r="BQ16" s="31"/>
      <c r="BR16" s="19"/>
      <c r="BS16" s="31"/>
      <c r="BT16" s="31"/>
      <c r="BU16" s="31"/>
      <c r="BV16" s="19"/>
      <c r="BW16" s="31"/>
      <c r="BX16" s="31"/>
      <c r="BY16" s="31"/>
      <c r="BZ16" s="19"/>
      <c r="CA16" s="31"/>
      <c r="CB16" s="31"/>
      <c r="CC16" s="31"/>
      <c r="CD16" s="19"/>
      <c r="CE16" s="31"/>
      <c r="CF16" s="31"/>
      <c r="CG16" s="31"/>
      <c r="CH16" s="34" t="s">
        <v>62</v>
      </c>
      <c r="CI16" s="31"/>
      <c r="CJ16" s="31"/>
      <c r="CK16" s="31"/>
      <c r="CL16" s="19"/>
      <c r="CM16" s="31"/>
      <c r="CN16" s="31"/>
      <c r="CO16" s="31"/>
      <c r="CP16" s="19"/>
      <c r="CQ16" s="31"/>
      <c r="CR16" s="31"/>
      <c r="CS16" s="31"/>
      <c r="CT16" s="34" t="s">
        <v>354</v>
      </c>
      <c r="CU16" s="31"/>
      <c r="CV16" s="31"/>
      <c r="CW16" s="31"/>
      <c r="CX16" s="19"/>
      <c r="CY16" s="31"/>
      <c r="CZ16" s="31"/>
      <c r="DA16" s="31"/>
      <c r="DB16" s="34" t="s">
        <v>111</v>
      </c>
      <c r="DC16" s="31"/>
      <c r="DD16" s="31"/>
      <c r="DE16" s="31"/>
      <c r="DF16" s="19"/>
      <c r="DG16" s="31"/>
      <c r="DH16" s="31"/>
      <c r="DI16" s="31"/>
      <c r="DJ16" s="19"/>
      <c r="DK16" s="31"/>
      <c r="DL16" s="31"/>
      <c r="DM16" s="31"/>
      <c r="DN16" s="19"/>
      <c r="DO16" s="31"/>
      <c r="DP16" s="31"/>
      <c r="DQ16" s="31"/>
      <c r="DR16" s="19"/>
      <c r="DS16" s="31"/>
      <c r="DT16" s="31"/>
      <c r="DU16" s="31"/>
      <c r="DV16" s="19"/>
      <c r="DW16" s="31"/>
      <c r="DX16" s="31"/>
      <c r="DY16" s="31"/>
      <c r="DZ16" s="19"/>
      <c r="EA16" s="31"/>
      <c r="EB16" s="31"/>
      <c r="EC16" s="31"/>
    </row>
    <row r="17" spans="2:133" ht="38.25" x14ac:dyDescent="0.25">
      <c r="B17" s="33"/>
      <c r="C17" s="31"/>
      <c r="D17" s="31"/>
      <c r="E17" s="31"/>
      <c r="F17" s="19"/>
      <c r="G17" s="31"/>
      <c r="H17" s="31"/>
      <c r="I17" s="31"/>
      <c r="J17" s="34" t="s">
        <v>205</v>
      </c>
      <c r="K17" s="31"/>
      <c r="L17" s="31"/>
      <c r="M17" s="31"/>
      <c r="N17" s="19"/>
      <c r="O17" s="31"/>
      <c r="P17" s="31"/>
      <c r="Q17" s="31"/>
      <c r="R17" s="34" t="s">
        <v>438</v>
      </c>
      <c r="S17" s="31"/>
      <c r="T17" s="31"/>
      <c r="U17" s="31"/>
      <c r="V17" s="19"/>
      <c r="W17" s="31"/>
      <c r="X17" s="31"/>
      <c r="Y17" s="31"/>
      <c r="Z17" s="19"/>
      <c r="AA17" s="31"/>
      <c r="AB17" s="31"/>
      <c r="AC17" s="31"/>
      <c r="AD17" s="34" t="s">
        <v>327</v>
      </c>
      <c r="AE17" s="31"/>
      <c r="AF17" s="31"/>
      <c r="AG17" s="31"/>
      <c r="AH17" s="34" t="s">
        <v>409</v>
      </c>
      <c r="AI17" s="31"/>
      <c r="AJ17" s="31"/>
      <c r="AK17" s="31"/>
      <c r="AL17" s="19"/>
      <c r="AM17" s="31"/>
      <c r="AN17" s="31"/>
      <c r="AO17" s="31"/>
      <c r="AP17" s="19"/>
      <c r="AQ17" s="31"/>
      <c r="AR17" s="31"/>
      <c r="AS17" s="31"/>
      <c r="AT17" s="19"/>
      <c r="AU17" s="31"/>
      <c r="AV17" s="31"/>
      <c r="AW17" s="31"/>
      <c r="AX17" s="19"/>
      <c r="AY17" s="31"/>
      <c r="AZ17" s="31"/>
      <c r="BA17" s="31"/>
      <c r="BB17" s="19"/>
      <c r="BC17" s="31"/>
      <c r="BD17" s="31"/>
      <c r="BE17" s="31"/>
      <c r="BF17" s="34" t="s">
        <v>418</v>
      </c>
      <c r="BG17" s="31"/>
      <c r="BH17" s="31"/>
      <c r="BI17" s="31"/>
      <c r="BJ17" s="19"/>
      <c r="BK17" s="31"/>
      <c r="BL17" s="31"/>
      <c r="BM17" s="31"/>
      <c r="BN17" s="19"/>
      <c r="BO17" s="31"/>
      <c r="BP17" s="31"/>
      <c r="BQ17" s="31"/>
      <c r="BR17" s="19"/>
      <c r="BS17" s="31"/>
      <c r="BT17" s="31"/>
      <c r="BU17" s="31"/>
      <c r="BV17" s="19"/>
      <c r="BW17" s="31"/>
      <c r="BX17" s="31"/>
      <c r="BY17" s="31"/>
      <c r="BZ17" s="19"/>
      <c r="CA17" s="31"/>
      <c r="CB17" s="31"/>
      <c r="CC17" s="31"/>
      <c r="CD17" s="19"/>
      <c r="CE17" s="31"/>
      <c r="CF17" s="31"/>
      <c r="CG17" s="31"/>
      <c r="CH17" s="34" t="s">
        <v>13</v>
      </c>
      <c r="CI17" s="31"/>
      <c r="CJ17" s="31"/>
      <c r="CK17" s="31"/>
      <c r="CL17" s="19"/>
      <c r="CM17" s="31"/>
      <c r="CN17" s="31"/>
      <c r="CO17" s="31"/>
      <c r="CP17" s="19"/>
      <c r="CQ17" s="31"/>
      <c r="CR17" s="31"/>
      <c r="CS17" s="31"/>
      <c r="CT17" s="34" t="s">
        <v>412</v>
      </c>
      <c r="CU17" s="31"/>
      <c r="CV17" s="31"/>
      <c r="CW17" s="31"/>
      <c r="CX17" s="19"/>
      <c r="CY17" s="31"/>
      <c r="CZ17" s="31"/>
      <c r="DA17" s="31"/>
      <c r="DB17" s="34" t="s">
        <v>113</v>
      </c>
      <c r="DC17" s="31"/>
      <c r="DD17" s="31"/>
      <c r="DE17" s="31"/>
      <c r="DF17" s="19"/>
      <c r="DG17" s="31"/>
      <c r="DH17" s="31"/>
      <c r="DI17" s="31"/>
      <c r="DJ17" s="19"/>
      <c r="DK17" s="31"/>
      <c r="DL17" s="31"/>
      <c r="DM17" s="31"/>
      <c r="DN17" s="19"/>
      <c r="DO17" s="31"/>
      <c r="DP17" s="31"/>
      <c r="DQ17" s="31"/>
      <c r="DR17" s="19"/>
      <c r="DS17" s="31"/>
      <c r="DT17" s="31"/>
      <c r="DU17" s="31"/>
      <c r="DV17" s="19"/>
      <c r="DW17" s="31"/>
      <c r="DX17" s="31"/>
      <c r="DY17" s="31"/>
      <c r="DZ17" s="19"/>
      <c r="EA17" s="31"/>
      <c r="EB17" s="31"/>
      <c r="EC17" s="31"/>
    </row>
    <row r="18" spans="2:133" ht="25.5" x14ac:dyDescent="0.25">
      <c r="B18" s="33"/>
      <c r="C18" s="31"/>
      <c r="D18" s="31"/>
      <c r="E18" s="31"/>
      <c r="F18" s="19"/>
      <c r="G18" s="31"/>
      <c r="H18" s="31"/>
      <c r="I18" s="31"/>
      <c r="J18" s="34" t="s">
        <v>343</v>
      </c>
      <c r="K18" s="31"/>
      <c r="L18" s="31"/>
      <c r="M18" s="31"/>
      <c r="N18" s="19"/>
      <c r="O18" s="31"/>
      <c r="P18" s="31"/>
      <c r="Q18" s="31"/>
      <c r="R18" s="34" t="s">
        <v>62</v>
      </c>
      <c r="S18" s="31"/>
      <c r="T18" s="31"/>
      <c r="U18" s="31"/>
      <c r="V18" s="19"/>
      <c r="W18" s="31"/>
      <c r="X18" s="31"/>
      <c r="Y18" s="31"/>
      <c r="Z18" s="19"/>
      <c r="AA18" s="31"/>
      <c r="AB18" s="31"/>
      <c r="AC18" s="31"/>
      <c r="AD18" s="34" t="s">
        <v>419</v>
      </c>
      <c r="AE18" s="31"/>
      <c r="AF18" s="31"/>
      <c r="AG18" s="31"/>
      <c r="AH18" s="34" t="s">
        <v>408</v>
      </c>
      <c r="AI18" s="31"/>
      <c r="AJ18" s="31"/>
      <c r="AK18" s="31"/>
      <c r="AL18" s="19"/>
      <c r="AM18" s="31"/>
      <c r="AN18" s="31"/>
      <c r="AO18" s="31"/>
      <c r="AP18" s="19"/>
      <c r="AQ18" s="31"/>
      <c r="AR18" s="31"/>
      <c r="AS18" s="31"/>
      <c r="AT18" s="19"/>
      <c r="AU18" s="31"/>
      <c r="AV18" s="31"/>
      <c r="AW18" s="31"/>
      <c r="AX18" s="19"/>
      <c r="AY18" s="31"/>
      <c r="AZ18" s="31"/>
      <c r="BA18" s="31"/>
      <c r="BB18" s="19"/>
      <c r="BC18" s="31"/>
      <c r="BD18" s="31"/>
      <c r="BE18" s="31"/>
      <c r="BF18" s="34" t="s">
        <v>62</v>
      </c>
      <c r="BG18" s="31"/>
      <c r="BH18" s="31"/>
      <c r="BI18" s="31"/>
      <c r="BJ18" s="19"/>
      <c r="BK18" s="31"/>
      <c r="BL18" s="31"/>
      <c r="BM18" s="31"/>
      <c r="BN18" s="19"/>
      <c r="BO18" s="31"/>
      <c r="BP18" s="31"/>
      <c r="BQ18" s="31"/>
      <c r="BR18" s="19"/>
      <c r="BS18" s="31"/>
      <c r="BT18" s="31"/>
      <c r="BU18" s="31"/>
      <c r="BV18" s="19"/>
      <c r="BW18" s="31"/>
      <c r="BX18" s="31"/>
      <c r="BY18" s="31"/>
      <c r="BZ18" s="19"/>
      <c r="CA18" s="31"/>
      <c r="CB18" s="31"/>
      <c r="CC18" s="31"/>
      <c r="CD18" s="19"/>
      <c r="CE18" s="31"/>
      <c r="CF18" s="31"/>
      <c r="CG18" s="31"/>
      <c r="CH18" s="36" t="s">
        <v>0</v>
      </c>
      <c r="CI18" s="31"/>
      <c r="CJ18" s="31"/>
      <c r="CK18" s="31"/>
      <c r="CL18" s="19"/>
      <c r="CM18" s="31"/>
      <c r="CN18" s="31"/>
      <c r="CO18" s="31"/>
      <c r="CP18" s="19"/>
      <c r="CQ18" s="31"/>
      <c r="CR18" s="31"/>
      <c r="CS18" s="31"/>
      <c r="CT18" s="34" t="s">
        <v>62</v>
      </c>
      <c r="CU18" s="31"/>
      <c r="CV18" s="31"/>
      <c r="CW18" s="31"/>
      <c r="CX18" s="19"/>
      <c r="CY18" s="31"/>
      <c r="CZ18" s="31"/>
      <c r="DA18" s="31"/>
      <c r="DB18" s="34" t="s">
        <v>194</v>
      </c>
      <c r="DC18" s="31"/>
      <c r="DD18" s="31"/>
      <c r="DE18" s="31"/>
      <c r="DF18" s="19"/>
      <c r="DG18" s="31"/>
      <c r="DH18" s="31"/>
      <c r="DI18" s="31"/>
      <c r="DJ18" s="19"/>
      <c r="DK18" s="31"/>
      <c r="DL18" s="31"/>
      <c r="DM18" s="31"/>
      <c r="DN18" s="19"/>
      <c r="DO18" s="31"/>
      <c r="DP18" s="31"/>
      <c r="DQ18" s="31"/>
      <c r="DR18" s="19"/>
      <c r="DS18" s="31"/>
      <c r="DT18" s="31"/>
      <c r="DU18" s="31"/>
      <c r="DV18" s="19"/>
      <c r="DW18" s="31"/>
      <c r="DX18" s="31"/>
      <c r="DY18" s="31"/>
      <c r="DZ18" s="19"/>
      <c r="EA18" s="31"/>
      <c r="EB18" s="31"/>
      <c r="EC18" s="31"/>
    </row>
    <row r="19" spans="2:133" ht="25.5" x14ac:dyDescent="0.25">
      <c r="B19" s="33"/>
      <c r="C19" s="31"/>
      <c r="D19" s="31"/>
      <c r="E19" s="31"/>
      <c r="F19" s="19"/>
      <c r="G19" s="31"/>
      <c r="H19" s="31"/>
      <c r="I19" s="31"/>
      <c r="J19" s="34" t="s">
        <v>86</v>
      </c>
      <c r="K19" s="31"/>
      <c r="L19" s="31"/>
      <c r="M19" s="31"/>
      <c r="N19" s="19"/>
      <c r="O19" s="31"/>
      <c r="P19" s="31"/>
      <c r="Q19" s="31"/>
      <c r="R19" s="34" t="s">
        <v>13</v>
      </c>
      <c r="S19" s="31"/>
      <c r="T19" s="31"/>
      <c r="U19" s="31"/>
      <c r="V19" s="19"/>
      <c r="W19" s="31"/>
      <c r="X19" s="31"/>
      <c r="Y19" s="31"/>
      <c r="Z19" s="19"/>
      <c r="AA19" s="31"/>
      <c r="AB19" s="31"/>
      <c r="AC19" s="31"/>
      <c r="AD19" s="34" t="s">
        <v>125</v>
      </c>
      <c r="AE19" s="31"/>
      <c r="AF19" s="31"/>
      <c r="AG19" s="31"/>
      <c r="AH19" s="34" t="s">
        <v>420</v>
      </c>
      <c r="AI19" s="31"/>
      <c r="AJ19" s="31"/>
      <c r="AK19" s="31"/>
      <c r="AL19" s="19"/>
      <c r="AM19" s="31"/>
      <c r="AN19" s="31"/>
      <c r="AO19" s="31"/>
      <c r="AP19" s="19"/>
      <c r="AQ19" s="31"/>
      <c r="AR19" s="31"/>
      <c r="AS19" s="31"/>
      <c r="AT19" s="19"/>
      <c r="AU19" s="31"/>
      <c r="AV19" s="31"/>
      <c r="AW19" s="31"/>
      <c r="AX19" s="19"/>
      <c r="AY19" s="31"/>
      <c r="AZ19" s="31"/>
      <c r="BA19" s="31"/>
      <c r="BB19" s="19"/>
      <c r="BC19" s="31"/>
      <c r="BD19" s="31"/>
      <c r="BE19" s="31"/>
      <c r="BF19" s="34" t="s">
        <v>13</v>
      </c>
      <c r="BG19" s="31"/>
      <c r="BH19" s="31"/>
      <c r="BI19" s="31"/>
      <c r="BJ19" s="19"/>
      <c r="BK19" s="31"/>
      <c r="BL19" s="31"/>
      <c r="BM19" s="31"/>
      <c r="BN19" s="19"/>
      <c r="BO19" s="31"/>
      <c r="BP19" s="31"/>
      <c r="BQ19" s="31"/>
      <c r="BR19" s="19"/>
      <c r="BS19" s="31"/>
      <c r="BT19" s="31"/>
      <c r="BU19" s="31"/>
      <c r="BV19" s="19"/>
      <c r="BW19" s="31"/>
      <c r="BX19" s="31"/>
      <c r="BY19" s="31"/>
      <c r="BZ19" s="19"/>
      <c r="CA19" s="31"/>
      <c r="CB19" s="31"/>
      <c r="CC19" s="31"/>
      <c r="CD19" s="19"/>
      <c r="CE19" s="31"/>
      <c r="CF19" s="31"/>
      <c r="CG19" s="31"/>
      <c r="CH19" s="19"/>
      <c r="CI19" s="31"/>
      <c r="CJ19" s="31"/>
      <c r="CK19" s="31"/>
      <c r="CL19" s="19"/>
      <c r="CM19" s="31"/>
      <c r="CN19" s="31"/>
      <c r="CO19" s="31"/>
      <c r="CP19" s="19"/>
      <c r="CQ19" s="31"/>
      <c r="CR19" s="31"/>
      <c r="CS19" s="31"/>
      <c r="CT19" s="34" t="s">
        <v>13</v>
      </c>
      <c r="CU19" s="31"/>
      <c r="CV19" s="31"/>
      <c r="CW19" s="31"/>
      <c r="CX19" s="19"/>
      <c r="CY19" s="31"/>
      <c r="CZ19" s="31"/>
      <c r="DA19" s="31"/>
      <c r="DB19" s="34" t="s">
        <v>193</v>
      </c>
      <c r="DC19" s="31"/>
      <c r="DD19" s="31"/>
      <c r="DE19" s="31"/>
      <c r="DF19" s="19"/>
      <c r="DG19" s="31"/>
      <c r="DH19" s="31"/>
      <c r="DI19" s="31"/>
      <c r="DJ19" s="19"/>
      <c r="DK19" s="31"/>
      <c r="DL19" s="31"/>
      <c r="DM19" s="31"/>
      <c r="DN19" s="19"/>
      <c r="DO19" s="31"/>
      <c r="DP19" s="31"/>
      <c r="DQ19" s="31"/>
      <c r="DR19" s="19"/>
      <c r="DS19" s="31"/>
      <c r="DT19" s="31"/>
      <c r="DU19" s="31"/>
      <c r="DV19" s="19"/>
      <c r="DW19" s="31"/>
      <c r="DX19" s="31"/>
      <c r="DY19" s="31"/>
      <c r="DZ19" s="19"/>
      <c r="EA19" s="31"/>
      <c r="EB19" s="31"/>
      <c r="EC19" s="31"/>
    </row>
    <row r="20" spans="2:133" ht="38.25" x14ac:dyDescent="0.25">
      <c r="B20" s="33"/>
      <c r="C20" s="31"/>
      <c r="D20" s="31"/>
      <c r="E20" s="31"/>
      <c r="F20" s="19"/>
      <c r="G20" s="31"/>
      <c r="H20" s="31"/>
      <c r="I20" s="31"/>
      <c r="J20" s="34" t="s">
        <v>412</v>
      </c>
      <c r="K20" s="31"/>
      <c r="L20" s="31"/>
      <c r="M20" s="31"/>
      <c r="N20" s="19"/>
      <c r="O20" s="31"/>
      <c r="P20" s="31"/>
      <c r="Q20" s="31"/>
      <c r="R20" s="36" t="s">
        <v>0</v>
      </c>
      <c r="S20" s="31"/>
      <c r="T20" s="31"/>
      <c r="U20" s="31"/>
      <c r="V20" s="19"/>
      <c r="W20" s="31"/>
      <c r="X20" s="31"/>
      <c r="Y20" s="31"/>
      <c r="Z20" s="19"/>
      <c r="AA20" s="31"/>
      <c r="AB20" s="31"/>
      <c r="AC20" s="31"/>
      <c r="AD20" s="34" t="s">
        <v>62</v>
      </c>
      <c r="AE20" s="31"/>
      <c r="AF20" s="31"/>
      <c r="AG20" s="31"/>
      <c r="AH20" s="34" t="s">
        <v>62</v>
      </c>
      <c r="AI20" s="31"/>
      <c r="AJ20" s="31"/>
      <c r="AK20" s="31"/>
      <c r="AL20" s="19"/>
      <c r="AM20" s="31"/>
      <c r="AN20" s="31"/>
      <c r="AO20" s="31"/>
      <c r="AP20" s="19"/>
      <c r="AQ20" s="31"/>
      <c r="AR20" s="31"/>
      <c r="AS20" s="31"/>
      <c r="AT20" s="19"/>
      <c r="AU20" s="31"/>
      <c r="AV20" s="31"/>
      <c r="AW20" s="31"/>
      <c r="AX20" s="19"/>
      <c r="AY20" s="31"/>
      <c r="AZ20" s="31"/>
      <c r="BA20" s="31"/>
      <c r="BB20" s="19"/>
      <c r="BC20" s="31"/>
      <c r="BD20" s="31"/>
      <c r="BE20" s="31"/>
      <c r="BF20" s="36" t="s">
        <v>0</v>
      </c>
      <c r="BG20" s="31"/>
      <c r="BH20" s="31"/>
      <c r="BI20" s="31"/>
      <c r="BJ20" s="19"/>
      <c r="BK20" s="31"/>
      <c r="BL20" s="31"/>
      <c r="BM20" s="31"/>
      <c r="BN20" s="19"/>
      <c r="BO20" s="31"/>
      <c r="BP20" s="31"/>
      <c r="BQ20" s="31"/>
      <c r="BR20" s="19"/>
      <c r="BS20" s="31"/>
      <c r="BT20" s="31"/>
      <c r="BU20" s="31"/>
      <c r="BV20" s="19"/>
      <c r="BW20" s="31"/>
      <c r="BX20" s="31"/>
      <c r="BY20" s="31"/>
      <c r="BZ20" s="19"/>
      <c r="CA20" s="31"/>
      <c r="CB20" s="31"/>
      <c r="CC20" s="31"/>
      <c r="CD20" s="19"/>
      <c r="CE20" s="31"/>
      <c r="CF20" s="31"/>
      <c r="CG20" s="31"/>
      <c r="CH20" s="19"/>
      <c r="CI20" s="31"/>
      <c r="CJ20" s="31"/>
      <c r="CK20" s="31"/>
      <c r="CL20" s="19"/>
      <c r="CM20" s="31"/>
      <c r="CN20" s="31"/>
      <c r="CO20" s="31"/>
      <c r="CP20" s="19"/>
      <c r="CQ20" s="31"/>
      <c r="CR20" s="31"/>
      <c r="CS20" s="31"/>
      <c r="CT20" s="36" t="s">
        <v>0</v>
      </c>
      <c r="CU20" s="31"/>
      <c r="CV20" s="31"/>
      <c r="CW20" s="31"/>
      <c r="CX20" s="19"/>
      <c r="CY20" s="31"/>
      <c r="CZ20" s="31"/>
      <c r="DA20" s="31"/>
      <c r="DB20" s="34" t="s">
        <v>148</v>
      </c>
      <c r="DC20" s="31"/>
      <c r="DD20" s="31"/>
      <c r="DE20" s="31"/>
      <c r="DF20" s="19"/>
      <c r="DG20" s="31"/>
      <c r="DH20" s="31"/>
      <c r="DI20" s="31"/>
      <c r="DJ20" s="19"/>
      <c r="DK20" s="31"/>
      <c r="DL20" s="31"/>
      <c r="DM20" s="31"/>
      <c r="DN20" s="19"/>
      <c r="DO20" s="31"/>
      <c r="DP20" s="31"/>
      <c r="DQ20" s="31"/>
      <c r="DR20" s="19"/>
      <c r="DS20" s="31"/>
      <c r="DT20" s="31"/>
      <c r="DU20" s="31"/>
      <c r="DV20" s="19"/>
      <c r="DW20" s="31"/>
      <c r="DX20" s="31"/>
      <c r="DY20" s="31"/>
      <c r="DZ20" s="19"/>
      <c r="EA20" s="31"/>
      <c r="EB20" s="31"/>
      <c r="EC20" s="31"/>
    </row>
    <row r="21" spans="2:133" ht="25.5" x14ac:dyDescent="0.25">
      <c r="B21" s="33"/>
      <c r="C21" s="31"/>
      <c r="D21" s="31"/>
      <c r="E21" s="31"/>
      <c r="F21" s="19"/>
      <c r="G21" s="31"/>
      <c r="H21" s="31"/>
      <c r="I21" s="31"/>
      <c r="J21" s="34" t="s">
        <v>62</v>
      </c>
      <c r="K21" s="31"/>
      <c r="L21" s="31"/>
      <c r="M21" s="31"/>
      <c r="N21" s="19"/>
      <c r="O21" s="31"/>
      <c r="P21" s="31"/>
      <c r="Q21" s="31"/>
      <c r="R21" s="19"/>
      <c r="S21" s="31"/>
      <c r="T21" s="31"/>
      <c r="U21" s="31"/>
      <c r="V21" s="19"/>
      <c r="W21" s="31"/>
      <c r="X21" s="31"/>
      <c r="Y21" s="31"/>
      <c r="Z21" s="19"/>
      <c r="AA21" s="31"/>
      <c r="AB21" s="31"/>
      <c r="AC21" s="31"/>
      <c r="AD21" s="34" t="s">
        <v>13</v>
      </c>
      <c r="AE21" s="31"/>
      <c r="AF21" s="31"/>
      <c r="AG21" s="31"/>
      <c r="AH21" s="34" t="s">
        <v>13</v>
      </c>
      <c r="AI21" s="31"/>
      <c r="AJ21" s="31"/>
      <c r="AK21" s="30"/>
      <c r="AL21" s="19"/>
      <c r="AM21" s="31"/>
      <c r="AN21" s="31"/>
      <c r="AO21" s="31"/>
      <c r="AP21" s="19"/>
      <c r="AQ21" s="31"/>
      <c r="AR21" s="31"/>
      <c r="AS21" s="31"/>
      <c r="AT21" s="19"/>
      <c r="AU21" s="31"/>
      <c r="AV21" s="31"/>
      <c r="AW21" s="31"/>
      <c r="AX21" s="19"/>
      <c r="AY21" s="31"/>
      <c r="AZ21" s="31"/>
      <c r="BA21" s="31"/>
      <c r="BB21" s="19"/>
      <c r="BC21" s="31"/>
      <c r="BD21" s="31"/>
      <c r="BE21" s="31"/>
      <c r="BF21" s="19"/>
      <c r="BG21" s="31"/>
      <c r="BH21" s="31"/>
      <c r="BI21" s="31"/>
      <c r="BJ21" s="19"/>
      <c r="BK21" s="31"/>
      <c r="BL21" s="31"/>
      <c r="BM21" s="31"/>
      <c r="BN21" s="19"/>
      <c r="BO21" s="31"/>
      <c r="BP21" s="31"/>
      <c r="BQ21" s="31"/>
      <c r="BR21" s="19"/>
      <c r="BS21" s="31"/>
      <c r="BT21" s="31"/>
      <c r="BU21" s="31"/>
      <c r="BV21" s="19"/>
      <c r="BW21" s="31"/>
      <c r="BX21" s="31"/>
      <c r="BY21" s="31"/>
      <c r="BZ21" s="19"/>
      <c r="CA21" s="31"/>
      <c r="CB21" s="31"/>
      <c r="CC21" s="31"/>
      <c r="CD21" s="19"/>
      <c r="CE21" s="31"/>
      <c r="CF21" s="31"/>
      <c r="CG21" s="31"/>
      <c r="CH21" s="19"/>
      <c r="CI21" s="31"/>
      <c r="CJ21" s="31"/>
      <c r="CK21" s="31"/>
      <c r="CL21" s="19"/>
      <c r="CM21" s="31"/>
      <c r="CN21" s="31"/>
      <c r="CO21" s="31"/>
      <c r="CP21" s="19"/>
      <c r="CQ21" s="31"/>
      <c r="CR21" s="31"/>
      <c r="CS21" s="31"/>
      <c r="CT21" s="19"/>
      <c r="CU21" s="31"/>
      <c r="CV21" s="31"/>
      <c r="CW21" s="31"/>
      <c r="CX21" s="19"/>
      <c r="CY21" s="31"/>
      <c r="CZ21" s="31"/>
      <c r="DA21" s="31"/>
      <c r="DB21" s="34" t="s">
        <v>116</v>
      </c>
      <c r="DC21" s="31"/>
      <c r="DD21" s="31"/>
      <c r="DE21" s="31"/>
      <c r="DF21" s="19"/>
      <c r="DG21" s="31"/>
      <c r="DH21" s="31"/>
      <c r="DI21" s="31"/>
      <c r="DJ21" s="19"/>
      <c r="DK21" s="31"/>
      <c r="DL21" s="31"/>
      <c r="DM21" s="31"/>
      <c r="DN21" s="19"/>
      <c r="DO21" s="31"/>
      <c r="DP21" s="31"/>
      <c r="DQ21" s="31"/>
      <c r="DR21" s="19"/>
      <c r="DS21" s="31"/>
      <c r="DT21" s="31"/>
      <c r="DU21" s="31"/>
      <c r="DV21" s="19"/>
      <c r="DW21" s="31"/>
      <c r="DX21" s="31"/>
      <c r="DY21" s="31"/>
      <c r="DZ21" s="19"/>
      <c r="EA21" s="31"/>
      <c r="EB21" s="31"/>
      <c r="EC21" s="31"/>
    </row>
    <row r="22" spans="2:133" x14ac:dyDescent="0.25">
      <c r="B22" s="33"/>
      <c r="C22" s="31"/>
      <c r="D22" s="31"/>
      <c r="E22" s="31"/>
      <c r="F22" s="19"/>
      <c r="G22" s="31"/>
      <c r="H22" s="31"/>
      <c r="I22" s="31"/>
      <c r="J22" s="34" t="s">
        <v>13</v>
      </c>
      <c r="K22" s="31"/>
      <c r="L22" s="31"/>
      <c r="M22" s="31"/>
      <c r="N22" s="19"/>
      <c r="O22" s="31"/>
      <c r="P22" s="31"/>
      <c r="Q22" s="31"/>
      <c r="R22" s="19"/>
      <c r="S22" s="31"/>
      <c r="T22" s="31"/>
      <c r="U22" s="31"/>
      <c r="V22" s="19"/>
      <c r="W22" s="31"/>
      <c r="X22" s="31"/>
      <c r="Y22" s="31"/>
      <c r="Z22" s="19"/>
      <c r="AA22" s="31"/>
      <c r="AB22" s="31"/>
      <c r="AC22" s="31"/>
      <c r="AD22" s="36" t="s">
        <v>0</v>
      </c>
      <c r="AE22" s="31"/>
      <c r="AF22" s="31"/>
      <c r="AG22" s="31"/>
      <c r="AH22" s="36" t="s">
        <v>0</v>
      </c>
      <c r="AI22" s="31"/>
      <c r="AJ22" s="31"/>
      <c r="AK22" s="31"/>
      <c r="AL22" s="19"/>
      <c r="AM22" s="31"/>
      <c r="AN22" s="31"/>
      <c r="AO22" s="31"/>
      <c r="AP22" s="19"/>
      <c r="AQ22" s="31"/>
      <c r="AR22" s="31"/>
      <c r="AS22" s="31"/>
      <c r="AT22" s="19"/>
      <c r="AU22" s="31"/>
      <c r="AV22" s="31"/>
      <c r="AW22" s="31"/>
      <c r="AX22" s="19"/>
      <c r="AY22" s="31"/>
      <c r="AZ22" s="31"/>
      <c r="BA22" s="31"/>
      <c r="BB22" s="19"/>
      <c r="BC22" s="31"/>
      <c r="BD22" s="31"/>
      <c r="BE22" s="31"/>
      <c r="BF22" s="19"/>
      <c r="BG22" s="31"/>
      <c r="BH22" s="31"/>
      <c r="BI22" s="31"/>
      <c r="BJ22" s="19"/>
      <c r="BK22" s="31"/>
      <c r="BL22" s="31"/>
      <c r="BM22" s="31"/>
      <c r="BN22" s="19"/>
      <c r="BO22" s="31"/>
      <c r="BP22" s="31"/>
      <c r="BQ22" s="31"/>
      <c r="BR22" s="19"/>
      <c r="BS22" s="31"/>
      <c r="BT22" s="31"/>
      <c r="BU22" s="31"/>
      <c r="BV22" s="19"/>
      <c r="BW22" s="31"/>
      <c r="BX22" s="31"/>
      <c r="BY22" s="31"/>
      <c r="BZ22" s="19"/>
      <c r="CA22" s="31"/>
      <c r="CB22" s="31"/>
      <c r="CC22" s="31"/>
      <c r="CD22" s="19"/>
      <c r="CE22" s="31"/>
      <c r="CF22" s="31"/>
      <c r="CG22" s="31"/>
      <c r="CH22" s="19"/>
      <c r="CI22" s="31"/>
      <c r="CJ22" s="31"/>
      <c r="CK22" s="31"/>
      <c r="CL22" s="19"/>
      <c r="CM22" s="31"/>
      <c r="CN22" s="31"/>
      <c r="CO22" s="31"/>
      <c r="CP22" s="19"/>
      <c r="CQ22" s="31"/>
      <c r="CR22" s="31"/>
      <c r="CS22" s="31"/>
      <c r="CT22" s="19"/>
      <c r="CU22" s="31"/>
      <c r="CV22" s="31"/>
      <c r="CW22" s="31"/>
      <c r="CX22" s="19"/>
      <c r="CY22" s="31"/>
      <c r="CZ22" s="31"/>
      <c r="DA22" s="31"/>
      <c r="DB22" s="34" t="s">
        <v>143</v>
      </c>
      <c r="DC22" s="31"/>
      <c r="DD22" s="31"/>
      <c r="DE22" s="31"/>
      <c r="DF22" s="19"/>
      <c r="DG22" s="31"/>
      <c r="DH22" s="31"/>
      <c r="DI22" s="31"/>
      <c r="DJ22" s="19"/>
      <c r="DK22" s="31"/>
      <c r="DL22" s="31"/>
      <c r="DM22" s="31"/>
      <c r="DN22" s="19"/>
      <c r="DO22" s="31"/>
      <c r="DP22" s="31"/>
      <c r="DQ22" s="31"/>
      <c r="DR22" s="19"/>
      <c r="DS22" s="31"/>
      <c r="DT22" s="31"/>
      <c r="DU22" s="31"/>
      <c r="DV22" s="19"/>
      <c r="DW22" s="31"/>
      <c r="DX22" s="31"/>
      <c r="DY22" s="31"/>
      <c r="DZ22" s="19"/>
      <c r="EA22" s="31"/>
      <c r="EB22" s="31"/>
      <c r="EC22" s="31"/>
    </row>
    <row r="23" spans="2:133" x14ac:dyDescent="0.25">
      <c r="B23" s="33"/>
      <c r="C23" s="31"/>
      <c r="D23" s="31"/>
      <c r="E23" s="31"/>
      <c r="F23" s="19"/>
      <c r="G23" s="31"/>
      <c r="H23" s="31"/>
      <c r="I23" s="31"/>
      <c r="J23" s="36" t="s">
        <v>0</v>
      </c>
      <c r="K23" s="31"/>
      <c r="L23" s="31"/>
      <c r="M23" s="31"/>
      <c r="N23" s="19"/>
      <c r="O23" s="31"/>
      <c r="P23" s="31"/>
      <c r="Q23" s="31"/>
      <c r="R23" s="19"/>
      <c r="S23" s="31"/>
      <c r="T23" s="31"/>
      <c r="U23" s="31"/>
      <c r="V23" s="19"/>
      <c r="W23" s="31"/>
      <c r="X23" s="31"/>
      <c r="Y23" s="31"/>
      <c r="Z23" s="19"/>
      <c r="AA23" s="31"/>
      <c r="AB23" s="31"/>
      <c r="AC23" s="31"/>
      <c r="AD23" s="19"/>
      <c r="AE23" s="31"/>
      <c r="AF23" s="31"/>
      <c r="AG23" s="31"/>
      <c r="AH23" s="19"/>
      <c r="AI23" s="31"/>
      <c r="AJ23" s="31"/>
      <c r="AK23" s="31"/>
      <c r="AL23" s="19"/>
      <c r="AM23" s="31"/>
      <c r="AN23" s="31"/>
      <c r="AO23" s="31"/>
      <c r="AP23" s="19"/>
      <c r="AQ23" s="31"/>
      <c r="AR23" s="31"/>
      <c r="AS23" s="31"/>
      <c r="AT23" s="19"/>
      <c r="AU23" s="31"/>
      <c r="AV23" s="31"/>
      <c r="AW23" s="31"/>
      <c r="AX23" s="19"/>
      <c r="AY23" s="31"/>
      <c r="AZ23" s="31"/>
      <c r="BA23" s="31"/>
      <c r="BB23" s="19"/>
      <c r="BC23" s="31"/>
      <c r="BD23" s="31"/>
      <c r="BE23" s="31"/>
      <c r="BF23" s="19"/>
      <c r="BG23" s="31"/>
      <c r="BH23" s="31"/>
      <c r="BI23" s="31"/>
      <c r="BJ23" s="19"/>
      <c r="BK23" s="31"/>
      <c r="BL23" s="31"/>
      <c r="BM23" s="31"/>
      <c r="BN23" s="19"/>
      <c r="BO23" s="31"/>
      <c r="BP23" s="31"/>
      <c r="BQ23" s="31"/>
      <c r="BR23" s="19"/>
      <c r="BS23" s="31"/>
      <c r="BT23" s="31"/>
      <c r="BU23" s="31"/>
      <c r="BV23" s="19"/>
      <c r="BW23" s="31"/>
      <c r="BX23" s="31"/>
      <c r="BY23" s="31"/>
      <c r="BZ23" s="19"/>
      <c r="CA23" s="31"/>
      <c r="CB23" s="31"/>
      <c r="CC23" s="31"/>
      <c r="CD23" s="19"/>
      <c r="CE23" s="31"/>
      <c r="CF23" s="31"/>
      <c r="CG23" s="31"/>
      <c r="CH23" s="19"/>
      <c r="CI23" s="31"/>
      <c r="CJ23" s="31"/>
      <c r="CK23" s="31"/>
      <c r="CL23" s="19"/>
      <c r="CM23" s="31"/>
      <c r="CN23" s="31"/>
      <c r="CO23" s="31"/>
      <c r="CP23" s="19"/>
      <c r="CQ23" s="31"/>
      <c r="CR23" s="31"/>
      <c r="CS23" s="31"/>
      <c r="CT23" s="19"/>
      <c r="CU23" s="31"/>
      <c r="CV23" s="31"/>
      <c r="CW23" s="31"/>
      <c r="CX23" s="19"/>
      <c r="CY23" s="31"/>
      <c r="CZ23" s="31"/>
      <c r="DA23" s="31"/>
      <c r="DB23" s="34" t="s">
        <v>144</v>
      </c>
      <c r="DC23" s="31"/>
      <c r="DD23" s="31"/>
      <c r="DE23" s="31"/>
      <c r="DF23" s="19"/>
      <c r="DG23" s="31"/>
      <c r="DH23" s="31"/>
      <c r="DI23" s="31"/>
      <c r="DJ23" s="19"/>
      <c r="DK23" s="31"/>
      <c r="DL23" s="31"/>
      <c r="DM23" s="31"/>
      <c r="DN23" s="19"/>
      <c r="DO23" s="31"/>
      <c r="DP23" s="31"/>
      <c r="DQ23" s="31"/>
      <c r="DR23" s="19"/>
      <c r="DS23" s="31"/>
      <c r="DT23" s="31"/>
      <c r="DU23" s="31"/>
      <c r="DV23" s="19"/>
      <c r="DW23" s="31"/>
      <c r="DX23" s="31"/>
      <c r="DY23" s="31"/>
      <c r="DZ23" s="19"/>
      <c r="EA23" s="31"/>
      <c r="EB23" s="31"/>
      <c r="EC23" s="31"/>
    </row>
    <row r="24" spans="2:133" x14ac:dyDescent="0.25">
      <c r="B24" s="33"/>
      <c r="C24" s="31"/>
      <c r="D24" s="31"/>
      <c r="E24" s="31"/>
      <c r="F24" s="19"/>
      <c r="G24" s="31"/>
      <c r="H24" s="31"/>
      <c r="I24" s="31"/>
      <c r="J24" s="19"/>
      <c r="K24" s="31"/>
      <c r="L24" s="31"/>
      <c r="M24" s="31"/>
      <c r="N24" s="19"/>
      <c r="O24" s="31"/>
      <c r="P24" s="31"/>
      <c r="Q24" s="31"/>
      <c r="R24" s="19"/>
      <c r="S24" s="31"/>
      <c r="T24" s="31"/>
      <c r="U24" s="31"/>
      <c r="V24" s="19"/>
      <c r="W24" s="31"/>
      <c r="X24" s="31"/>
      <c r="Y24" s="31"/>
      <c r="Z24" s="19"/>
      <c r="AA24" s="31"/>
      <c r="AB24" s="31"/>
      <c r="AC24" s="31"/>
      <c r="AD24" s="19"/>
      <c r="AE24" s="31"/>
      <c r="AF24" s="31"/>
      <c r="AG24" s="31"/>
      <c r="AH24" s="19"/>
      <c r="AI24" s="31"/>
      <c r="AJ24" s="31"/>
      <c r="AK24" s="31"/>
      <c r="AL24" s="19"/>
      <c r="AM24" s="31"/>
      <c r="AN24" s="31"/>
      <c r="AO24" s="31"/>
      <c r="AP24" s="19"/>
      <c r="AQ24" s="31"/>
      <c r="AR24" s="31"/>
      <c r="AS24" s="31"/>
      <c r="AT24" s="19"/>
      <c r="AU24" s="31"/>
      <c r="AV24" s="31"/>
      <c r="AW24" s="31"/>
      <c r="AX24" s="19"/>
      <c r="AY24" s="31"/>
      <c r="AZ24" s="31"/>
      <c r="BA24" s="31"/>
      <c r="BB24" s="19"/>
      <c r="BC24" s="31"/>
      <c r="BD24" s="31"/>
      <c r="BE24" s="31"/>
      <c r="BF24" s="19"/>
      <c r="BG24" s="31"/>
      <c r="BH24" s="31"/>
      <c r="BI24" s="31"/>
      <c r="BJ24" s="19"/>
      <c r="BK24" s="31"/>
      <c r="BL24" s="31"/>
      <c r="BM24" s="31"/>
      <c r="BN24" s="19"/>
      <c r="BO24" s="31"/>
      <c r="BP24" s="31"/>
      <c r="BQ24" s="31"/>
      <c r="BR24" s="19"/>
      <c r="BS24" s="31"/>
      <c r="BT24" s="31"/>
      <c r="BU24" s="31"/>
      <c r="BV24" s="19"/>
      <c r="BW24" s="31"/>
      <c r="BX24" s="31"/>
      <c r="BY24" s="31"/>
      <c r="BZ24" s="19"/>
      <c r="CA24" s="31"/>
      <c r="CB24" s="31"/>
      <c r="CC24" s="31"/>
      <c r="CD24" s="19"/>
      <c r="CE24" s="31"/>
      <c r="CF24" s="31"/>
      <c r="CG24" s="31"/>
      <c r="CH24" s="19"/>
      <c r="CI24" s="31"/>
      <c r="CJ24" s="31"/>
      <c r="CK24" s="31"/>
      <c r="CL24" s="19"/>
      <c r="CM24" s="31"/>
      <c r="CN24" s="31"/>
      <c r="CO24" s="31"/>
      <c r="CP24" s="19"/>
      <c r="CQ24" s="31"/>
      <c r="CR24" s="31"/>
      <c r="CS24" s="31"/>
      <c r="CT24" s="19"/>
      <c r="CU24" s="31"/>
      <c r="CV24" s="31"/>
      <c r="CW24" s="31"/>
      <c r="CX24" s="19"/>
      <c r="CY24" s="31"/>
      <c r="CZ24" s="31"/>
      <c r="DA24" s="31"/>
      <c r="DB24" s="34" t="s">
        <v>150</v>
      </c>
      <c r="DC24" s="31"/>
      <c r="DD24" s="31"/>
      <c r="DE24" s="31"/>
      <c r="DF24" s="19"/>
      <c r="DG24" s="31"/>
      <c r="DH24" s="31"/>
      <c r="DI24" s="31"/>
      <c r="DJ24" s="19"/>
      <c r="DK24" s="31"/>
      <c r="DL24" s="31"/>
      <c r="DM24" s="31"/>
      <c r="DN24" s="19"/>
      <c r="DO24" s="31"/>
      <c r="DP24" s="31"/>
      <c r="DQ24" s="31"/>
      <c r="DR24" s="19"/>
      <c r="DS24" s="31"/>
      <c r="DT24" s="31"/>
      <c r="DU24" s="31"/>
      <c r="DV24" s="19"/>
      <c r="DW24" s="31"/>
      <c r="DX24" s="31"/>
      <c r="DY24" s="31"/>
      <c r="DZ24" s="19"/>
      <c r="EA24" s="31"/>
      <c r="EB24" s="31"/>
      <c r="EC24" s="31"/>
    </row>
    <row r="25" spans="2:133" x14ac:dyDescent="0.25">
      <c r="B25" s="33"/>
      <c r="C25" s="31"/>
      <c r="D25" s="31"/>
      <c r="E25" s="31"/>
      <c r="F25" s="19"/>
      <c r="G25" s="31"/>
      <c r="H25" s="31"/>
      <c r="I25" s="31"/>
      <c r="J25" s="19"/>
      <c r="K25" s="31"/>
      <c r="L25" s="31"/>
      <c r="M25" s="31"/>
      <c r="N25" s="19"/>
      <c r="O25" s="31"/>
      <c r="P25" s="31"/>
      <c r="Q25" s="31"/>
      <c r="R25" s="19"/>
      <c r="S25" s="31"/>
      <c r="T25" s="31"/>
      <c r="U25" s="31"/>
      <c r="V25" s="19"/>
      <c r="W25" s="31"/>
      <c r="X25" s="31"/>
      <c r="Y25" s="31"/>
      <c r="Z25" s="19"/>
      <c r="AA25" s="31"/>
      <c r="AB25" s="31"/>
      <c r="AC25" s="31"/>
      <c r="AD25" s="19"/>
      <c r="AE25" s="31"/>
      <c r="AF25" s="31"/>
      <c r="AG25" s="31"/>
      <c r="AH25" s="19"/>
      <c r="AI25" s="31"/>
      <c r="AJ25" s="31"/>
      <c r="AK25" s="31"/>
      <c r="AL25" s="19"/>
      <c r="AM25" s="31"/>
      <c r="AN25" s="31"/>
      <c r="AO25" s="31"/>
      <c r="AP25" s="19"/>
      <c r="AQ25" s="31"/>
      <c r="AR25" s="31"/>
      <c r="AS25" s="31"/>
      <c r="AT25" s="19"/>
      <c r="AU25" s="31"/>
      <c r="AV25" s="31"/>
      <c r="AW25" s="31"/>
      <c r="AX25" s="19"/>
      <c r="AY25" s="31"/>
      <c r="AZ25" s="31"/>
      <c r="BA25" s="31"/>
      <c r="BB25" s="19"/>
      <c r="BC25" s="31"/>
      <c r="BD25" s="31"/>
      <c r="BE25" s="31"/>
      <c r="BF25" s="19"/>
      <c r="BG25" s="31"/>
      <c r="BH25" s="31"/>
      <c r="BI25" s="31"/>
      <c r="BJ25" s="19"/>
      <c r="BK25" s="31"/>
      <c r="BL25" s="31"/>
      <c r="BM25" s="31"/>
      <c r="BN25" s="19"/>
      <c r="BO25" s="31"/>
      <c r="BP25" s="31"/>
      <c r="BQ25" s="31"/>
      <c r="BR25" s="19"/>
      <c r="BS25" s="31"/>
      <c r="BT25" s="31"/>
      <c r="BU25" s="31"/>
      <c r="BV25" s="19"/>
      <c r="BW25" s="31"/>
      <c r="BX25" s="31"/>
      <c r="BY25" s="31"/>
      <c r="BZ25" s="19"/>
      <c r="CA25" s="31"/>
      <c r="CB25" s="31"/>
      <c r="CC25" s="31"/>
      <c r="CD25" s="19"/>
      <c r="CE25" s="31"/>
      <c r="CF25" s="31"/>
      <c r="CG25" s="31"/>
      <c r="CH25" s="19"/>
      <c r="CI25" s="31"/>
      <c r="CJ25" s="31"/>
      <c r="CK25" s="31"/>
      <c r="CL25" s="19"/>
      <c r="CM25" s="31"/>
      <c r="CN25" s="31"/>
      <c r="CO25" s="31"/>
      <c r="CP25" s="19"/>
      <c r="CQ25" s="31"/>
      <c r="CR25" s="31"/>
      <c r="CS25" s="31"/>
      <c r="CT25" s="19"/>
      <c r="CU25" s="31"/>
      <c r="CV25" s="31"/>
      <c r="CW25" s="31"/>
      <c r="CX25" s="19"/>
      <c r="CY25" s="31"/>
      <c r="CZ25" s="31"/>
      <c r="DA25" s="31"/>
      <c r="DB25" s="34" t="s">
        <v>175</v>
      </c>
      <c r="DC25" s="31"/>
      <c r="DD25" s="31"/>
      <c r="DE25" s="31"/>
      <c r="DF25" s="19"/>
      <c r="DG25" s="31"/>
      <c r="DH25" s="31"/>
      <c r="DI25" s="31"/>
      <c r="DJ25" s="19"/>
      <c r="DK25" s="31"/>
      <c r="DL25" s="31"/>
      <c r="DM25" s="31"/>
      <c r="DN25" s="19"/>
      <c r="DO25" s="31"/>
      <c r="DP25" s="31"/>
      <c r="DQ25" s="31"/>
      <c r="DR25" s="19"/>
      <c r="DS25" s="31"/>
      <c r="DT25" s="31"/>
      <c r="DU25" s="31"/>
      <c r="DV25" s="19"/>
      <c r="DW25" s="31"/>
      <c r="DX25" s="31"/>
      <c r="DY25" s="31"/>
      <c r="DZ25" s="19"/>
      <c r="EA25" s="31"/>
      <c r="EB25" s="31"/>
      <c r="EC25" s="31"/>
    </row>
    <row r="26" spans="2:133" x14ac:dyDescent="0.25">
      <c r="B26" s="33"/>
      <c r="C26" s="31"/>
      <c r="D26" s="31"/>
      <c r="E26" s="31"/>
      <c r="F26" s="19"/>
      <c r="G26" s="31"/>
      <c r="H26" s="31"/>
      <c r="I26" s="31"/>
      <c r="J26" s="19"/>
      <c r="K26" s="31"/>
      <c r="L26" s="31"/>
      <c r="M26" s="31"/>
      <c r="N26" s="19"/>
      <c r="O26" s="31"/>
      <c r="P26" s="31"/>
      <c r="Q26" s="31"/>
      <c r="R26" s="19"/>
      <c r="S26" s="31"/>
      <c r="T26" s="31"/>
      <c r="U26" s="31"/>
      <c r="V26" s="19"/>
      <c r="W26" s="31"/>
      <c r="X26" s="31"/>
      <c r="Y26" s="31"/>
      <c r="Z26" s="19"/>
      <c r="AA26" s="31"/>
      <c r="AB26" s="31"/>
      <c r="AC26" s="31"/>
      <c r="AD26" s="19"/>
      <c r="AE26" s="31"/>
      <c r="AF26" s="31"/>
      <c r="AG26" s="31"/>
      <c r="AH26" s="19"/>
      <c r="AI26" s="31"/>
      <c r="AJ26" s="31"/>
      <c r="AK26" s="31"/>
      <c r="AL26" s="19"/>
      <c r="AM26" s="31"/>
      <c r="AN26" s="31"/>
      <c r="AO26" s="31"/>
      <c r="AP26" s="19"/>
      <c r="AQ26" s="31"/>
      <c r="AR26" s="31"/>
      <c r="AS26" s="31"/>
      <c r="AT26" s="19"/>
      <c r="AU26" s="31"/>
      <c r="AV26" s="31"/>
      <c r="AW26" s="31"/>
      <c r="AX26" s="19"/>
      <c r="AY26" s="31"/>
      <c r="AZ26" s="31"/>
      <c r="BA26" s="31"/>
      <c r="BB26" s="19"/>
      <c r="BC26" s="31"/>
      <c r="BD26" s="31"/>
      <c r="BE26" s="31"/>
      <c r="BF26" s="19"/>
      <c r="BG26" s="31"/>
      <c r="BH26" s="31"/>
      <c r="BI26" s="31"/>
      <c r="BJ26" s="19"/>
      <c r="BK26" s="31"/>
      <c r="BL26" s="31"/>
      <c r="BM26" s="31"/>
      <c r="BN26" s="19"/>
      <c r="BO26" s="31"/>
      <c r="BP26" s="31"/>
      <c r="BQ26" s="31"/>
      <c r="BR26" s="19"/>
      <c r="BS26" s="31"/>
      <c r="BT26" s="31"/>
      <c r="BU26" s="31"/>
      <c r="BV26" s="19"/>
      <c r="BW26" s="31"/>
      <c r="BX26" s="31"/>
      <c r="BY26" s="31"/>
      <c r="BZ26" s="19"/>
      <c r="CA26" s="31"/>
      <c r="CB26" s="31"/>
      <c r="CC26" s="31"/>
      <c r="CD26" s="19"/>
      <c r="CE26" s="31"/>
      <c r="CF26" s="31"/>
      <c r="CG26" s="31"/>
      <c r="CH26" s="19"/>
      <c r="CI26" s="31"/>
      <c r="CJ26" s="31"/>
      <c r="CK26" s="31"/>
      <c r="CL26" s="19"/>
      <c r="CM26" s="31"/>
      <c r="CN26" s="31"/>
      <c r="CO26" s="31"/>
      <c r="CP26" s="19"/>
      <c r="CQ26" s="31"/>
      <c r="CR26" s="31"/>
      <c r="CS26" s="31"/>
      <c r="CT26" s="19"/>
      <c r="CU26" s="31"/>
      <c r="CV26" s="31"/>
      <c r="CW26" s="31"/>
      <c r="CX26" s="19"/>
      <c r="CY26" s="31"/>
      <c r="CZ26" s="31"/>
      <c r="DA26" s="31"/>
      <c r="DB26" s="34" t="s">
        <v>180</v>
      </c>
      <c r="DC26" s="31"/>
      <c r="DD26" s="31"/>
      <c r="DE26" s="31"/>
      <c r="DF26" s="19"/>
      <c r="DG26" s="31"/>
      <c r="DH26" s="31"/>
      <c r="DI26" s="31"/>
      <c r="DJ26" s="19"/>
      <c r="DK26" s="31"/>
      <c r="DL26" s="31"/>
      <c r="DM26" s="31"/>
      <c r="DN26" s="19"/>
      <c r="DO26" s="31"/>
      <c r="DP26" s="31"/>
      <c r="DQ26" s="31"/>
      <c r="DR26" s="19"/>
      <c r="DS26" s="31"/>
      <c r="DT26" s="31"/>
      <c r="DU26" s="31"/>
      <c r="DV26" s="19"/>
      <c r="DW26" s="31"/>
      <c r="DX26" s="31"/>
      <c r="DY26" s="31"/>
      <c r="DZ26" s="19"/>
      <c r="EA26" s="31"/>
      <c r="EB26" s="31"/>
      <c r="EC26" s="31"/>
    </row>
    <row r="27" spans="2:133" ht="38.25" x14ac:dyDescent="0.25">
      <c r="B27" s="33"/>
      <c r="C27" s="31"/>
      <c r="D27" s="31"/>
      <c r="E27" s="31"/>
      <c r="F27" s="19"/>
      <c r="G27" s="31"/>
      <c r="H27" s="31"/>
      <c r="I27" s="31"/>
      <c r="J27" s="19"/>
      <c r="K27" s="31"/>
      <c r="L27" s="31"/>
      <c r="M27" s="31"/>
      <c r="N27" s="19"/>
      <c r="O27" s="31"/>
      <c r="P27" s="31"/>
      <c r="Q27" s="31"/>
      <c r="R27" s="19"/>
      <c r="S27" s="31"/>
      <c r="T27" s="31"/>
      <c r="U27" s="31"/>
      <c r="V27" s="19"/>
      <c r="W27" s="31"/>
      <c r="X27" s="31"/>
      <c r="Y27" s="31"/>
      <c r="Z27" s="19"/>
      <c r="AA27" s="31"/>
      <c r="AB27" s="31"/>
      <c r="AC27" s="31"/>
      <c r="AD27" s="19"/>
      <c r="AE27" s="31"/>
      <c r="AF27" s="31"/>
      <c r="AG27" s="31"/>
      <c r="AH27" s="19"/>
      <c r="AI27" s="31"/>
      <c r="AJ27" s="31"/>
      <c r="AK27" s="31"/>
      <c r="AL27" s="19"/>
      <c r="AM27" s="31"/>
      <c r="AN27" s="31"/>
      <c r="AO27" s="31"/>
      <c r="AP27" s="19"/>
      <c r="AQ27" s="31"/>
      <c r="AR27" s="31"/>
      <c r="AS27" s="31"/>
      <c r="AT27" s="19"/>
      <c r="AU27" s="31"/>
      <c r="AV27" s="31"/>
      <c r="AW27" s="31"/>
      <c r="AX27" s="19"/>
      <c r="AY27" s="31"/>
      <c r="AZ27" s="31"/>
      <c r="BA27" s="31"/>
      <c r="BB27" s="19"/>
      <c r="BC27" s="31"/>
      <c r="BD27" s="31"/>
      <c r="BE27" s="31"/>
      <c r="BF27" s="19"/>
      <c r="BG27" s="31"/>
      <c r="BH27" s="31"/>
      <c r="BI27" s="31"/>
      <c r="BJ27" s="19"/>
      <c r="BK27" s="31"/>
      <c r="BL27" s="31"/>
      <c r="BM27" s="31"/>
      <c r="BN27" s="19"/>
      <c r="BO27" s="31"/>
      <c r="BP27" s="31"/>
      <c r="BQ27" s="31"/>
      <c r="BR27" s="19"/>
      <c r="BS27" s="31"/>
      <c r="BT27" s="31"/>
      <c r="BU27" s="31"/>
      <c r="BV27" s="19"/>
      <c r="BW27" s="31"/>
      <c r="BX27" s="31"/>
      <c r="BY27" s="31"/>
      <c r="BZ27" s="19"/>
      <c r="CA27" s="31"/>
      <c r="CB27" s="31"/>
      <c r="CC27" s="31"/>
      <c r="CD27" s="19"/>
      <c r="CE27" s="31"/>
      <c r="CF27" s="31"/>
      <c r="CG27" s="31"/>
      <c r="CH27" s="19"/>
      <c r="CI27" s="31"/>
      <c r="CJ27" s="31"/>
      <c r="CK27" s="31"/>
      <c r="CL27" s="19"/>
      <c r="CM27" s="31"/>
      <c r="CN27" s="31"/>
      <c r="CO27" s="31"/>
      <c r="CP27" s="19"/>
      <c r="CQ27" s="31"/>
      <c r="CR27" s="31"/>
      <c r="CS27" s="31"/>
      <c r="CT27" s="19"/>
      <c r="CU27" s="31"/>
      <c r="CV27" s="31"/>
      <c r="CW27" s="31"/>
      <c r="CX27" s="19"/>
      <c r="CY27" s="31"/>
      <c r="CZ27" s="31"/>
      <c r="DA27" s="31"/>
      <c r="DB27" s="34" t="s">
        <v>181</v>
      </c>
      <c r="DC27" s="31"/>
      <c r="DD27" s="31"/>
      <c r="DE27" s="31"/>
      <c r="DF27" s="19"/>
      <c r="DG27" s="31"/>
      <c r="DH27" s="31"/>
      <c r="DI27" s="31"/>
      <c r="DJ27" s="19"/>
      <c r="DK27" s="31"/>
      <c r="DL27" s="31"/>
      <c r="DM27" s="31"/>
      <c r="DN27" s="19"/>
      <c r="DO27" s="31"/>
      <c r="DP27" s="31"/>
      <c r="DQ27" s="31"/>
      <c r="DR27" s="19"/>
      <c r="DS27" s="31"/>
      <c r="DT27" s="31"/>
      <c r="DU27" s="31"/>
      <c r="DV27" s="19"/>
      <c r="DW27" s="31"/>
      <c r="DX27" s="31"/>
      <c r="DY27" s="31"/>
      <c r="DZ27" s="19"/>
      <c r="EA27" s="31"/>
      <c r="EB27" s="31"/>
      <c r="EC27" s="31"/>
    </row>
    <row r="28" spans="2:133" x14ac:dyDescent="0.25">
      <c r="B28" s="33"/>
      <c r="C28" s="31"/>
      <c r="D28" s="31"/>
      <c r="E28" s="31"/>
      <c r="F28" s="19"/>
      <c r="G28" s="31"/>
      <c r="H28" s="31"/>
      <c r="I28" s="31"/>
      <c r="J28" s="19"/>
      <c r="K28" s="31"/>
      <c r="L28" s="31"/>
      <c r="M28" s="31"/>
      <c r="N28" s="19"/>
      <c r="O28" s="31"/>
      <c r="P28" s="31"/>
      <c r="Q28" s="31"/>
      <c r="R28" s="19"/>
      <c r="S28" s="31"/>
      <c r="T28" s="31"/>
      <c r="U28" s="31"/>
      <c r="V28" s="19"/>
      <c r="W28" s="31"/>
      <c r="X28" s="31"/>
      <c r="Y28" s="31"/>
      <c r="Z28" s="19"/>
      <c r="AA28" s="31"/>
      <c r="AB28" s="31"/>
      <c r="AC28" s="31"/>
      <c r="AD28" s="19"/>
      <c r="AE28" s="31"/>
      <c r="AF28" s="31"/>
      <c r="AG28" s="31"/>
      <c r="AH28" s="19"/>
      <c r="AI28" s="31"/>
      <c r="AJ28" s="31"/>
      <c r="AK28" s="31"/>
      <c r="AL28" s="19"/>
      <c r="AM28" s="31"/>
      <c r="AN28" s="31"/>
      <c r="AO28" s="31"/>
      <c r="AP28" s="19"/>
      <c r="AQ28" s="31"/>
      <c r="AR28" s="31"/>
      <c r="AS28" s="31"/>
      <c r="AT28" s="19"/>
      <c r="AU28" s="31"/>
      <c r="AV28" s="31"/>
      <c r="AW28" s="31"/>
      <c r="AX28" s="19"/>
      <c r="AY28" s="31"/>
      <c r="AZ28" s="31"/>
      <c r="BA28" s="31"/>
      <c r="BB28" s="19"/>
      <c r="BC28" s="31"/>
      <c r="BD28" s="31"/>
      <c r="BE28" s="31"/>
      <c r="BF28" s="19"/>
      <c r="BG28" s="31"/>
      <c r="BH28" s="31"/>
      <c r="BI28" s="31"/>
      <c r="BJ28" s="19"/>
      <c r="BK28" s="31"/>
      <c r="BL28" s="31"/>
      <c r="BM28" s="31"/>
      <c r="BN28" s="19"/>
      <c r="BO28" s="31"/>
      <c r="BP28" s="31"/>
      <c r="BQ28" s="31"/>
      <c r="BR28" s="19"/>
      <c r="BS28" s="31"/>
      <c r="BT28" s="31"/>
      <c r="BU28" s="31"/>
      <c r="BV28" s="19"/>
      <c r="BW28" s="31"/>
      <c r="BX28" s="31"/>
      <c r="BY28" s="31"/>
      <c r="BZ28" s="19"/>
      <c r="CA28" s="31"/>
      <c r="CB28" s="31"/>
      <c r="CC28" s="31"/>
      <c r="CD28" s="19"/>
      <c r="CE28" s="31"/>
      <c r="CF28" s="31"/>
      <c r="CG28" s="31"/>
      <c r="CH28" s="19"/>
      <c r="CI28" s="31"/>
      <c r="CJ28" s="31"/>
      <c r="CK28" s="31"/>
      <c r="CL28" s="19"/>
      <c r="CM28" s="31"/>
      <c r="CN28" s="31"/>
      <c r="CO28" s="31"/>
      <c r="CP28" s="19"/>
      <c r="CQ28" s="31"/>
      <c r="CR28" s="31"/>
      <c r="CS28" s="31"/>
      <c r="CT28" s="19"/>
      <c r="CU28" s="31"/>
      <c r="CV28" s="31"/>
      <c r="CW28" s="31"/>
      <c r="CX28" s="19"/>
      <c r="CY28" s="31"/>
      <c r="CZ28" s="31"/>
      <c r="DA28" s="31"/>
      <c r="DB28" s="34" t="s">
        <v>182</v>
      </c>
      <c r="DC28" s="31"/>
      <c r="DD28" s="31"/>
      <c r="DE28" s="31"/>
      <c r="DF28" s="19"/>
      <c r="DG28" s="31"/>
      <c r="DH28" s="31"/>
      <c r="DI28" s="31"/>
      <c r="DJ28" s="19"/>
      <c r="DK28" s="31"/>
      <c r="DL28" s="31"/>
      <c r="DM28" s="31"/>
      <c r="DN28" s="19"/>
      <c r="DO28" s="31"/>
      <c r="DP28" s="31"/>
      <c r="DQ28" s="31"/>
      <c r="DR28" s="19"/>
      <c r="DS28" s="31"/>
      <c r="DT28" s="31"/>
      <c r="DU28" s="31"/>
      <c r="DV28" s="19"/>
      <c r="DW28" s="31"/>
      <c r="DX28" s="31"/>
      <c r="DY28" s="31"/>
      <c r="DZ28" s="19"/>
      <c r="EA28" s="31"/>
      <c r="EB28" s="31"/>
      <c r="EC28" s="31"/>
    </row>
    <row r="29" spans="2:133" x14ac:dyDescent="0.25">
      <c r="B29" s="33"/>
      <c r="C29" s="31"/>
      <c r="D29" s="31"/>
      <c r="E29" s="31"/>
      <c r="F29" s="19"/>
      <c r="G29" s="31"/>
      <c r="H29" s="31"/>
      <c r="I29" s="31"/>
      <c r="J29" s="19"/>
      <c r="K29" s="31"/>
      <c r="L29" s="31"/>
      <c r="M29" s="31"/>
      <c r="N29" s="19"/>
      <c r="O29" s="31"/>
      <c r="P29" s="31"/>
      <c r="Q29" s="31"/>
      <c r="R29" s="19"/>
      <c r="S29" s="31"/>
      <c r="T29" s="31"/>
      <c r="U29" s="31"/>
      <c r="V29" s="19"/>
      <c r="W29" s="31"/>
      <c r="X29" s="31"/>
      <c r="Y29" s="31"/>
      <c r="Z29" s="19"/>
      <c r="AA29" s="31"/>
      <c r="AB29" s="31"/>
      <c r="AC29" s="31"/>
      <c r="AD29" s="19"/>
      <c r="AE29" s="31"/>
      <c r="AF29" s="31"/>
      <c r="AG29" s="31"/>
      <c r="AH29" s="19"/>
      <c r="AI29" s="31"/>
      <c r="AJ29" s="31"/>
      <c r="AK29" s="31"/>
      <c r="AL29" s="19"/>
      <c r="AM29" s="31"/>
      <c r="AN29" s="31"/>
      <c r="AO29" s="31"/>
      <c r="AP29" s="19"/>
      <c r="AQ29" s="31"/>
      <c r="AR29" s="31"/>
      <c r="AS29" s="31"/>
      <c r="AT29" s="19"/>
      <c r="AU29" s="31"/>
      <c r="AV29" s="31"/>
      <c r="AW29" s="31"/>
      <c r="AX29" s="19"/>
      <c r="AY29" s="31"/>
      <c r="AZ29" s="31"/>
      <c r="BA29" s="31"/>
      <c r="BB29" s="19"/>
      <c r="BC29" s="31"/>
      <c r="BD29" s="31"/>
      <c r="BE29" s="31"/>
      <c r="BF29" s="19"/>
      <c r="BG29" s="31"/>
      <c r="BH29" s="31"/>
      <c r="BI29" s="31"/>
      <c r="BJ29" s="19"/>
      <c r="BK29" s="31"/>
      <c r="BL29" s="31"/>
      <c r="BM29" s="31"/>
      <c r="BN29" s="19"/>
      <c r="BO29" s="31"/>
      <c r="BP29" s="31"/>
      <c r="BQ29" s="31"/>
      <c r="BR29" s="19"/>
      <c r="BS29" s="31"/>
      <c r="BT29" s="31"/>
      <c r="BU29" s="31"/>
      <c r="BV29" s="19"/>
      <c r="BW29" s="31"/>
      <c r="BX29" s="31"/>
      <c r="BY29" s="31"/>
      <c r="BZ29" s="19"/>
      <c r="CA29" s="31"/>
      <c r="CB29" s="31"/>
      <c r="CC29" s="31"/>
      <c r="CD29" s="19"/>
      <c r="CE29" s="31"/>
      <c r="CF29" s="31"/>
      <c r="CG29" s="31"/>
      <c r="CH29" s="19"/>
      <c r="CI29" s="31"/>
      <c r="CJ29" s="31"/>
      <c r="CK29" s="31"/>
      <c r="CL29" s="19"/>
      <c r="CM29" s="31"/>
      <c r="CN29" s="31"/>
      <c r="CO29" s="31"/>
      <c r="CP29" s="19"/>
      <c r="CQ29" s="31"/>
      <c r="CR29" s="31"/>
      <c r="CS29" s="31"/>
      <c r="CT29" s="19"/>
      <c r="CU29" s="31"/>
      <c r="CV29" s="31"/>
      <c r="CW29" s="31"/>
      <c r="CX29" s="19"/>
      <c r="CY29" s="31"/>
      <c r="CZ29" s="31"/>
      <c r="DA29" s="31"/>
      <c r="DB29" s="34" t="s">
        <v>187</v>
      </c>
      <c r="DC29" s="31"/>
      <c r="DD29" s="31"/>
      <c r="DE29" s="31"/>
      <c r="DF29" s="19"/>
      <c r="DG29" s="31"/>
      <c r="DH29" s="31"/>
      <c r="DI29" s="31"/>
      <c r="DJ29" s="19"/>
      <c r="DK29" s="31"/>
      <c r="DL29" s="31"/>
      <c r="DM29" s="31"/>
      <c r="DN29" s="19"/>
      <c r="DO29" s="31"/>
      <c r="DP29" s="31"/>
      <c r="DQ29" s="31"/>
      <c r="DR29" s="19"/>
      <c r="DS29" s="31"/>
      <c r="DT29" s="31"/>
      <c r="DU29" s="31"/>
      <c r="DV29" s="19"/>
      <c r="DW29" s="31"/>
      <c r="DX29" s="31"/>
      <c r="DY29" s="31"/>
      <c r="DZ29" s="19"/>
      <c r="EA29" s="31"/>
      <c r="EB29" s="31"/>
      <c r="EC29" s="31"/>
    </row>
    <row r="30" spans="2:133" x14ac:dyDescent="0.25">
      <c r="B30" s="33"/>
      <c r="C30" s="31"/>
      <c r="D30" s="31"/>
      <c r="E30" s="31"/>
      <c r="F30" s="19"/>
      <c r="G30" s="31"/>
      <c r="H30" s="31"/>
      <c r="I30" s="31"/>
      <c r="J30" s="19"/>
      <c r="K30" s="31"/>
      <c r="L30" s="31"/>
      <c r="M30" s="31"/>
      <c r="N30" s="19"/>
      <c r="O30" s="31"/>
      <c r="P30" s="31"/>
      <c r="Q30" s="31"/>
      <c r="R30" s="19"/>
      <c r="S30" s="31"/>
      <c r="T30" s="31"/>
      <c r="U30" s="31"/>
      <c r="V30" s="19"/>
      <c r="W30" s="31"/>
      <c r="X30" s="31"/>
      <c r="Y30" s="31"/>
      <c r="Z30" s="19"/>
      <c r="AA30" s="31"/>
      <c r="AB30" s="31"/>
      <c r="AC30" s="31"/>
      <c r="AD30" s="19"/>
      <c r="AE30" s="31"/>
      <c r="AF30" s="31"/>
      <c r="AG30" s="31"/>
      <c r="AH30" s="19"/>
      <c r="AI30" s="31"/>
      <c r="AJ30" s="31"/>
      <c r="AK30" s="31"/>
      <c r="AL30" s="19"/>
      <c r="AM30" s="31"/>
      <c r="AN30" s="31"/>
      <c r="AO30" s="31"/>
      <c r="AP30" s="19"/>
      <c r="AQ30" s="31"/>
      <c r="AR30" s="31"/>
      <c r="AS30" s="31"/>
      <c r="AT30" s="19"/>
      <c r="AU30" s="31"/>
      <c r="AV30" s="31"/>
      <c r="AW30" s="31"/>
      <c r="AX30" s="19"/>
      <c r="AY30" s="31"/>
      <c r="AZ30" s="31"/>
      <c r="BA30" s="31"/>
      <c r="BB30" s="19"/>
      <c r="BC30" s="31"/>
      <c r="BD30" s="31"/>
      <c r="BE30" s="31"/>
      <c r="BF30" s="19"/>
      <c r="BG30" s="31"/>
      <c r="BH30" s="31"/>
      <c r="BI30" s="31"/>
      <c r="BJ30" s="19"/>
      <c r="BK30" s="31"/>
      <c r="BL30" s="31"/>
      <c r="BM30" s="31"/>
      <c r="BN30" s="19"/>
      <c r="BO30" s="31"/>
      <c r="BP30" s="31"/>
      <c r="BQ30" s="31"/>
      <c r="BR30" s="19"/>
      <c r="BS30" s="31"/>
      <c r="BT30" s="31"/>
      <c r="BU30" s="31"/>
      <c r="BV30" s="19"/>
      <c r="BW30" s="31"/>
      <c r="BX30" s="31"/>
      <c r="BY30" s="31"/>
      <c r="BZ30" s="19"/>
      <c r="CA30" s="31"/>
      <c r="CB30" s="31"/>
      <c r="CC30" s="31"/>
      <c r="CD30" s="19"/>
      <c r="CE30" s="31"/>
      <c r="CF30" s="31"/>
      <c r="CG30" s="31"/>
      <c r="CH30" s="19"/>
      <c r="CI30" s="31"/>
      <c r="CJ30" s="31"/>
      <c r="CK30" s="31"/>
      <c r="CL30" s="19"/>
      <c r="CM30" s="31"/>
      <c r="CN30" s="31"/>
      <c r="CO30" s="31"/>
      <c r="CP30" s="19"/>
      <c r="CQ30" s="31"/>
      <c r="CR30" s="31"/>
      <c r="CS30" s="31"/>
      <c r="CT30" s="19"/>
      <c r="CU30" s="31"/>
      <c r="CV30" s="31"/>
      <c r="CW30" s="31"/>
      <c r="CX30" s="19"/>
      <c r="CY30" s="31"/>
      <c r="CZ30" s="31"/>
      <c r="DA30" s="31"/>
      <c r="DB30" s="34" t="s">
        <v>214</v>
      </c>
      <c r="DC30" s="31"/>
      <c r="DD30" s="31"/>
      <c r="DE30" s="31"/>
      <c r="DF30" s="19"/>
      <c r="DG30" s="31"/>
      <c r="DH30" s="31"/>
      <c r="DI30" s="31"/>
      <c r="DJ30" s="19"/>
      <c r="DK30" s="31"/>
      <c r="DL30" s="31"/>
      <c r="DM30" s="31"/>
      <c r="DN30" s="19"/>
      <c r="DO30" s="31"/>
      <c r="DP30" s="31"/>
      <c r="DQ30" s="31"/>
      <c r="DR30" s="19"/>
      <c r="DS30" s="31"/>
      <c r="DT30" s="31"/>
      <c r="DU30" s="31"/>
      <c r="DV30" s="19"/>
      <c r="DW30" s="31"/>
      <c r="DX30" s="31"/>
      <c r="DY30" s="31"/>
      <c r="DZ30" s="19"/>
      <c r="EA30" s="31"/>
      <c r="EB30" s="31"/>
      <c r="EC30" s="31"/>
    </row>
    <row r="31" spans="2:133" x14ac:dyDescent="0.25">
      <c r="B31" s="33"/>
      <c r="C31" s="31"/>
      <c r="D31" s="31"/>
      <c r="E31" s="31"/>
      <c r="F31" s="19"/>
      <c r="G31" s="31"/>
      <c r="H31" s="31"/>
      <c r="I31" s="31"/>
      <c r="J31" s="19"/>
      <c r="K31" s="31"/>
      <c r="L31" s="31"/>
      <c r="M31" s="31"/>
      <c r="N31" s="19"/>
      <c r="O31" s="31"/>
      <c r="P31" s="31"/>
      <c r="Q31" s="31"/>
      <c r="R31" s="19"/>
      <c r="S31" s="31"/>
      <c r="T31" s="31"/>
      <c r="U31" s="31"/>
      <c r="V31" s="19"/>
      <c r="W31" s="31"/>
      <c r="X31" s="31"/>
      <c r="Y31" s="31"/>
      <c r="Z31" s="19"/>
      <c r="AA31" s="31"/>
      <c r="AB31" s="31"/>
      <c r="AC31" s="31"/>
      <c r="AD31" s="19"/>
      <c r="AE31" s="31"/>
      <c r="AF31" s="31"/>
      <c r="AG31" s="31"/>
      <c r="AH31" s="19"/>
      <c r="AI31" s="31"/>
      <c r="AJ31" s="31"/>
      <c r="AK31" s="31"/>
      <c r="AL31" s="19"/>
      <c r="AM31" s="31"/>
      <c r="AN31" s="31"/>
      <c r="AO31" s="31"/>
      <c r="AP31" s="19"/>
      <c r="AQ31" s="31"/>
      <c r="AR31" s="31"/>
      <c r="AS31" s="31"/>
      <c r="AT31" s="19"/>
      <c r="AU31" s="31"/>
      <c r="AV31" s="31"/>
      <c r="AW31" s="31"/>
      <c r="AX31" s="19"/>
      <c r="AY31" s="31"/>
      <c r="AZ31" s="31"/>
      <c r="BA31" s="31"/>
      <c r="BB31" s="19"/>
      <c r="BC31" s="31"/>
      <c r="BD31" s="31"/>
      <c r="BE31" s="31"/>
      <c r="BF31" s="19"/>
      <c r="BG31" s="31"/>
      <c r="BH31" s="31"/>
      <c r="BI31" s="31"/>
      <c r="BJ31" s="19"/>
      <c r="BK31" s="31"/>
      <c r="BL31" s="31"/>
      <c r="BM31" s="31"/>
      <c r="BN31" s="19"/>
      <c r="BO31" s="31"/>
      <c r="BP31" s="31"/>
      <c r="BQ31" s="31"/>
      <c r="BR31" s="19"/>
      <c r="BS31" s="31"/>
      <c r="BT31" s="31"/>
      <c r="BU31" s="31"/>
      <c r="BV31" s="19"/>
      <c r="BW31" s="31"/>
      <c r="BX31" s="31"/>
      <c r="BY31" s="31"/>
      <c r="BZ31" s="19"/>
      <c r="CA31" s="31"/>
      <c r="CB31" s="31"/>
      <c r="CC31" s="31"/>
      <c r="CD31" s="19"/>
      <c r="CE31" s="31"/>
      <c r="CF31" s="31"/>
      <c r="CG31" s="31"/>
      <c r="CH31" s="19"/>
      <c r="CI31" s="31"/>
      <c r="CJ31" s="31"/>
      <c r="CK31" s="31"/>
      <c r="CL31" s="19"/>
      <c r="CM31" s="31"/>
      <c r="CN31" s="31"/>
      <c r="CO31" s="31"/>
      <c r="CP31" s="19"/>
      <c r="CQ31" s="31"/>
      <c r="CR31" s="31"/>
      <c r="CS31" s="31"/>
      <c r="CT31" s="19"/>
      <c r="CU31" s="31"/>
      <c r="CV31" s="31"/>
      <c r="CW31" s="31"/>
      <c r="CX31" s="19"/>
      <c r="CY31" s="31"/>
      <c r="CZ31" s="31"/>
      <c r="DA31" s="31"/>
      <c r="DB31" s="34" t="s">
        <v>353</v>
      </c>
      <c r="DC31" s="31"/>
      <c r="DD31" s="31"/>
      <c r="DE31" s="31"/>
      <c r="DF31" s="19"/>
      <c r="DG31" s="31"/>
      <c r="DH31" s="31"/>
      <c r="DI31" s="31"/>
      <c r="DJ31" s="19"/>
      <c r="DK31" s="31"/>
      <c r="DL31" s="31"/>
      <c r="DM31" s="31"/>
      <c r="DN31" s="19"/>
      <c r="DO31" s="31"/>
      <c r="DP31" s="31"/>
      <c r="DQ31" s="31"/>
      <c r="DR31" s="19"/>
      <c r="DS31" s="31"/>
      <c r="DT31" s="31"/>
      <c r="DU31" s="31"/>
      <c r="DV31" s="19"/>
      <c r="DW31" s="31"/>
      <c r="DX31" s="31"/>
      <c r="DY31" s="31"/>
      <c r="DZ31" s="19"/>
      <c r="EA31" s="31"/>
      <c r="EB31" s="31"/>
      <c r="EC31" s="31"/>
    </row>
    <row r="32" spans="2:133" x14ac:dyDescent="0.25">
      <c r="B32" s="33"/>
      <c r="C32" s="31"/>
      <c r="D32" s="31"/>
      <c r="E32" s="31"/>
      <c r="F32" s="19"/>
      <c r="G32" s="31"/>
      <c r="H32" s="31"/>
      <c r="I32" s="31"/>
      <c r="J32" s="19"/>
      <c r="K32" s="31"/>
      <c r="L32" s="31"/>
      <c r="M32" s="31"/>
      <c r="N32" s="19"/>
      <c r="O32" s="31"/>
      <c r="P32" s="31"/>
      <c r="Q32" s="31"/>
      <c r="R32" s="19"/>
      <c r="S32" s="31"/>
      <c r="T32" s="31"/>
      <c r="U32" s="31"/>
      <c r="V32" s="19"/>
      <c r="W32" s="31"/>
      <c r="X32" s="31"/>
      <c r="Y32" s="31"/>
      <c r="Z32" s="19"/>
      <c r="AA32" s="31"/>
      <c r="AB32" s="31"/>
      <c r="AC32" s="31"/>
      <c r="AD32" s="19"/>
      <c r="AE32" s="31"/>
      <c r="AF32" s="31"/>
      <c r="AG32" s="31"/>
      <c r="AH32" s="19"/>
      <c r="AI32" s="31"/>
      <c r="AJ32" s="31"/>
      <c r="AK32" s="31"/>
      <c r="AL32" s="19"/>
      <c r="AM32" s="31"/>
      <c r="AN32" s="31"/>
      <c r="AO32" s="31"/>
      <c r="AP32" s="19"/>
      <c r="AQ32" s="31"/>
      <c r="AR32" s="31"/>
      <c r="AS32" s="31"/>
      <c r="AT32" s="19"/>
      <c r="AU32" s="31"/>
      <c r="AV32" s="31"/>
      <c r="AW32" s="31"/>
      <c r="AX32" s="19"/>
      <c r="AY32" s="31"/>
      <c r="AZ32" s="31"/>
      <c r="BA32" s="31"/>
      <c r="BB32" s="19"/>
      <c r="BC32" s="31"/>
      <c r="BD32" s="31"/>
      <c r="BE32" s="31"/>
      <c r="BF32" s="19"/>
      <c r="BG32" s="31"/>
      <c r="BH32" s="31"/>
      <c r="BI32" s="31"/>
      <c r="BJ32" s="19"/>
      <c r="BK32" s="31"/>
      <c r="BL32" s="31"/>
      <c r="BM32" s="31"/>
      <c r="BN32" s="19"/>
      <c r="BO32" s="31"/>
      <c r="BP32" s="31"/>
      <c r="BQ32" s="31"/>
      <c r="BR32" s="19"/>
      <c r="BS32" s="31"/>
      <c r="BT32" s="31"/>
      <c r="BU32" s="31"/>
      <c r="BV32" s="19"/>
      <c r="BW32" s="31"/>
      <c r="BX32" s="31"/>
      <c r="BY32" s="31"/>
      <c r="BZ32" s="19"/>
      <c r="CA32" s="31"/>
      <c r="CB32" s="31"/>
      <c r="CC32" s="31"/>
      <c r="CD32" s="19"/>
      <c r="CE32" s="31"/>
      <c r="CF32" s="31"/>
      <c r="CG32" s="31"/>
      <c r="CH32" s="19"/>
      <c r="CI32" s="31"/>
      <c r="CJ32" s="31"/>
      <c r="CK32" s="31"/>
      <c r="CL32" s="19"/>
      <c r="CM32" s="31"/>
      <c r="CN32" s="31"/>
      <c r="CO32" s="31"/>
      <c r="CP32" s="19"/>
      <c r="CQ32" s="31"/>
      <c r="CR32" s="31"/>
      <c r="CS32" s="31"/>
      <c r="CT32" s="19"/>
      <c r="CU32" s="31"/>
      <c r="CV32" s="31"/>
      <c r="CW32" s="31"/>
      <c r="CX32" s="19"/>
      <c r="CY32" s="31"/>
      <c r="CZ32" s="31"/>
      <c r="DA32" s="31"/>
      <c r="DB32" s="34" t="s">
        <v>354</v>
      </c>
      <c r="DC32" s="31"/>
      <c r="DD32" s="31"/>
      <c r="DE32" s="31"/>
      <c r="DF32" s="19"/>
      <c r="DG32" s="31"/>
      <c r="DH32" s="31"/>
      <c r="DI32" s="31"/>
      <c r="DJ32" s="19"/>
      <c r="DK32" s="31"/>
      <c r="DL32" s="31"/>
      <c r="DM32" s="31"/>
      <c r="DN32" s="19"/>
      <c r="DO32" s="31"/>
      <c r="DP32" s="31"/>
      <c r="DQ32" s="31"/>
      <c r="DR32" s="19"/>
      <c r="DS32" s="31"/>
      <c r="DT32" s="31"/>
      <c r="DU32" s="31"/>
      <c r="DV32" s="19"/>
      <c r="DW32" s="31"/>
      <c r="DX32" s="31"/>
      <c r="DY32" s="31"/>
      <c r="DZ32" s="19"/>
      <c r="EA32" s="31"/>
      <c r="EB32" s="31"/>
      <c r="EC32" s="31"/>
    </row>
    <row r="33" spans="2:133" x14ac:dyDescent="0.25">
      <c r="B33" s="33"/>
      <c r="C33" s="31"/>
      <c r="D33" s="31"/>
      <c r="E33" s="31"/>
      <c r="F33" s="19"/>
      <c r="G33" s="31"/>
      <c r="H33" s="31"/>
      <c r="I33" s="31"/>
      <c r="J33" s="19"/>
      <c r="K33" s="31"/>
      <c r="L33" s="31"/>
      <c r="M33" s="31"/>
      <c r="N33" s="19"/>
      <c r="O33" s="31"/>
      <c r="P33" s="31"/>
      <c r="Q33" s="31"/>
      <c r="R33" s="19"/>
      <c r="S33" s="31"/>
      <c r="T33" s="31"/>
      <c r="U33" s="31"/>
      <c r="V33" s="19"/>
      <c r="W33" s="31"/>
      <c r="X33" s="31"/>
      <c r="Y33" s="31"/>
      <c r="Z33" s="19"/>
      <c r="AA33" s="31"/>
      <c r="AB33" s="31"/>
      <c r="AC33" s="31"/>
      <c r="AD33" s="19"/>
      <c r="AE33" s="31"/>
      <c r="AF33" s="31"/>
      <c r="AG33" s="31"/>
      <c r="AH33" s="19"/>
      <c r="AI33" s="31"/>
      <c r="AJ33" s="31"/>
      <c r="AK33" s="31"/>
      <c r="AL33" s="19"/>
      <c r="AM33" s="31"/>
      <c r="AN33" s="31"/>
      <c r="AO33" s="31"/>
      <c r="AP33" s="19"/>
      <c r="AQ33" s="31"/>
      <c r="AR33" s="31"/>
      <c r="AS33" s="31"/>
      <c r="AT33" s="19"/>
      <c r="AU33" s="31"/>
      <c r="AV33" s="31"/>
      <c r="AW33" s="31"/>
      <c r="AX33" s="19"/>
      <c r="AY33" s="31"/>
      <c r="AZ33" s="31"/>
      <c r="BA33" s="31"/>
      <c r="BB33" s="19"/>
      <c r="BC33" s="31"/>
      <c r="BD33" s="31"/>
      <c r="BE33" s="31"/>
      <c r="BF33" s="19"/>
      <c r="BG33" s="31"/>
      <c r="BH33" s="31"/>
      <c r="BI33" s="31"/>
      <c r="BJ33" s="19"/>
      <c r="BK33" s="31"/>
      <c r="BL33" s="31"/>
      <c r="BM33" s="31"/>
      <c r="BN33" s="19"/>
      <c r="BO33" s="31"/>
      <c r="BP33" s="31"/>
      <c r="BQ33" s="31"/>
      <c r="BR33" s="19"/>
      <c r="BS33" s="31"/>
      <c r="BT33" s="31"/>
      <c r="BU33" s="31"/>
      <c r="BV33" s="19"/>
      <c r="BW33" s="31"/>
      <c r="BX33" s="31"/>
      <c r="BY33" s="31"/>
      <c r="BZ33" s="19"/>
      <c r="CA33" s="31"/>
      <c r="CB33" s="31"/>
      <c r="CC33" s="31"/>
      <c r="CD33" s="19"/>
      <c r="CE33" s="31"/>
      <c r="CF33" s="31"/>
      <c r="CG33" s="31"/>
      <c r="CH33" s="19"/>
      <c r="CI33" s="31"/>
      <c r="CJ33" s="31"/>
      <c r="CK33" s="31"/>
      <c r="CL33" s="19"/>
      <c r="CM33" s="31"/>
      <c r="CN33" s="31"/>
      <c r="CO33" s="31"/>
      <c r="CP33" s="19"/>
      <c r="CQ33" s="31"/>
      <c r="CR33" s="31"/>
      <c r="CS33" s="31"/>
      <c r="CT33" s="19"/>
      <c r="CU33" s="31"/>
      <c r="CV33" s="31"/>
      <c r="CW33" s="31"/>
      <c r="CX33" s="19"/>
      <c r="CY33" s="31"/>
      <c r="CZ33" s="31"/>
      <c r="DA33" s="31"/>
      <c r="DB33" s="34" t="s">
        <v>114</v>
      </c>
      <c r="DC33" s="31"/>
      <c r="DD33" s="31"/>
      <c r="DE33" s="31"/>
      <c r="DF33" s="19"/>
      <c r="DG33" s="31"/>
      <c r="DH33" s="31"/>
      <c r="DI33" s="31"/>
      <c r="DJ33" s="19"/>
      <c r="DK33" s="31"/>
      <c r="DL33" s="31"/>
      <c r="DM33" s="31"/>
      <c r="DN33" s="19"/>
      <c r="DO33" s="31"/>
      <c r="DP33" s="31"/>
      <c r="DQ33" s="31"/>
      <c r="DR33" s="19"/>
      <c r="DS33" s="31"/>
      <c r="DT33" s="31"/>
      <c r="DU33" s="31"/>
      <c r="DV33" s="19"/>
      <c r="DW33" s="31"/>
      <c r="DX33" s="31"/>
      <c r="DY33" s="31"/>
      <c r="DZ33" s="19"/>
      <c r="EA33" s="31"/>
      <c r="EB33" s="31"/>
      <c r="EC33" s="31"/>
    </row>
    <row r="34" spans="2:133" x14ac:dyDescent="0.25">
      <c r="B34" s="33"/>
      <c r="C34" s="31"/>
      <c r="D34" s="31"/>
      <c r="E34" s="31"/>
      <c r="F34" s="19"/>
      <c r="G34" s="31"/>
      <c r="H34" s="31"/>
      <c r="I34" s="31"/>
      <c r="J34" s="19"/>
      <c r="K34" s="31"/>
      <c r="L34" s="31"/>
      <c r="M34" s="31"/>
      <c r="N34" s="19"/>
      <c r="O34" s="31"/>
      <c r="P34" s="31"/>
      <c r="Q34" s="31"/>
      <c r="R34" s="19"/>
      <c r="S34" s="31"/>
      <c r="T34" s="31"/>
      <c r="U34" s="31"/>
      <c r="V34" s="19"/>
      <c r="W34" s="31"/>
      <c r="X34" s="31"/>
      <c r="Y34" s="31"/>
      <c r="Z34" s="19"/>
      <c r="AA34" s="31"/>
      <c r="AB34" s="31"/>
      <c r="AC34" s="31"/>
      <c r="AD34" s="19"/>
      <c r="AE34" s="31"/>
      <c r="AF34" s="31"/>
      <c r="AG34" s="31"/>
      <c r="AH34" s="19"/>
      <c r="AI34" s="31"/>
      <c r="AJ34" s="31"/>
      <c r="AK34" s="31"/>
      <c r="AL34" s="19"/>
      <c r="AM34" s="31"/>
      <c r="AN34" s="31"/>
      <c r="AO34" s="31"/>
      <c r="AP34" s="19"/>
      <c r="AQ34" s="31"/>
      <c r="AR34" s="31"/>
      <c r="AS34" s="31"/>
      <c r="AT34" s="19"/>
      <c r="AU34" s="31"/>
      <c r="AV34" s="31"/>
      <c r="AW34" s="31"/>
      <c r="AX34" s="19"/>
      <c r="AY34" s="31"/>
      <c r="AZ34" s="31"/>
      <c r="BA34" s="31"/>
      <c r="BB34" s="19"/>
      <c r="BC34" s="31"/>
      <c r="BD34" s="31"/>
      <c r="BE34" s="31"/>
      <c r="BF34" s="19"/>
      <c r="BG34" s="31"/>
      <c r="BH34" s="31"/>
      <c r="BI34" s="31"/>
      <c r="BJ34" s="19"/>
      <c r="BK34" s="31"/>
      <c r="BL34" s="31"/>
      <c r="BM34" s="31"/>
      <c r="BN34" s="19"/>
      <c r="BO34" s="31"/>
      <c r="BP34" s="31"/>
      <c r="BQ34" s="31"/>
      <c r="BR34" s="19"/>
      <c r="BS34" s="31"/>
      <c r="BT34" s="31"/>
      <c r="BU34" s="31"/>
      <c r="BV34" s="19"/>
      <c r="BW34" s="31"/>
      <c r="BX34" s="31"/>
      <c r="BY34" s="31"/>
      <c r="BZ34" s="19"/>
      <c r="CA34" s="31"/>
      <c r="CB34" s="31"/>
      <c r="CC34" s="31"/>
      <c r="CD34" s="19"/>
      <c r="CE34" s="31"/>
      <c r="CF34" s="31"/>
      <c r="CG34" s="31"/>
      <c r="CH34" s="19"/>
      <c r="CI34" s="31"/>
      <c r="CJ34" s="31"/>
      <c r="CK34" s="31"/>
      <c r="CL34" s="19"/>
      <c r="CM34" s="31"/>
      <c r="CN34" s="31"/>
      <c r="CO34" s="31"/>
      <c r="CP34" s="19"/>
      <c r="CQ34" s="31"/>
      <c r="CR34" s="31"/>
      <c r="CS34" s="31"/>
      <c r="CT34" s="19"/>
      <c r="CU34" s="31"/>
      <c r="CV34" s="31"/>
      <c r="CW34" s="31"/>
      <c r="CX34" s="19"/>
      <c r="CY34" s="31"/>
      <c r="CZ34" s="31"/>
      <c r="DA34" s="31"/>
      <c r="DB34" s="34" t="s">
        <v>115</v>
      </c>
      <c r="DC34" s="31"/>
      <c r="DD34" s="31"/>
      <c r="DE34" s="31"/>
      <c r="DF34" s="19"/>
      <c r="DG34" s="31"/>
      <c r="DH34" s="31"/>
      <c r="DI34" s="31"/>
      <c r="DJ34" s="19"/>
      <c r="DK34" s="31"/>
      <c r="DL34" s="31"/>
      <c r="DM34" s="31"/>
      <c r="DN34" s="19"/>
      <c r="DO34" s="31"/>
      <c r="DP34" s="31"/>
      <c r="DQ34" s="31"/>
      <c r="DR34" s="19"/>
      <c r="DS34" s="31"/>
      <c r="DT34" s="31"/>
      <c r="DU34" s="31"/>
      <c r="DV34" s="19"/>
      <c r="DW34" s="31"/>
      <c r="DX34" s="31"/>
      <c r="DY34" s="31"/>
      <c r="DZ34" s="19"/>
      <c r="EA34" s="31"/>
      <c r="EB34" s="31"/>
      <c r="EC34" s="31"/>
    </row>
    <row r="35" spans="2:133" ht="51" x14ac:dyDescent="0.25">
      <c r="B35" s="33"/>
      <c r="C35" s="31"/>
      <c r="D35" s="31"/>
      <c r="E35" s="31"/>
      <c r="F35" s="19"/>
      <c r="G35" s="31"/>
      <c r="H35" s="31"/>
      <c r="I35" s="31"/>
      <c r="J35" s="19"/>
      <c r="K35" s="31"/>
      <c r="L35" s="31"/>
      <c r="M35" s="31"/>
      <c r="N35" s="19"/>
      <c r="O35" s="31"/>
      <c r="P35" s="31"/>
      <c r="Q35" s="31"/>
      <c r="R35" s="19"/>
      <c r="S35" s="31"/>
      <c r="T35" s="31"/>
      <c r="U35" s="31"/>
      <c r="V35" s="19"/>
      <c r="W35" s="31"/>
      <c r="X35" s="31"/>
      <c r="Y35" s="31"/>
      <c r="Z35" s="19"/>
      <c r="AA35" s="31"/>
      <c r="AB35" s="31"/>
      <c r="AC35" s="31"/>
      <c r="AD35" s="19"/>
      <c r="AE35" s="31"/>
      <c r="AF35" s="31"/>
      <c r="AG35" s="31"/>
      <c r="AH35" s="19"/>
      <c r="AI35" s="31"/>
      <c r="AJ35" s="31"/>
      <c r="AK35" s="31"/>
      <c r="AL35" s="19"/>
      <c r="AM35" s="31"/>
      <c r="AN35" s="31"/>
      <c r="AO35" s="31"/>
      <c r="AP35" s="19"/>
      <c r="AQ35" s="31"/>
      <c r="AR35" s="31"/>
      <c r="AS35" s="31"/>
      <c r="AT35" s="19"/>
      <c r="AU35" s="31"/>
      <c r="AV35" s="31"/>
      <c r="AW35" s="31"/>
      <c r="AX35" s="19"/>
      <c r="AY35" s="31"/>
      <c r="AZ35" s="31"/>
      <c r="BA35" s="31"/>
      <c r="BB35" s="19"/>
      <c r="BC35" s="31"/>
      <c r="BD35" s="31"/>
      <c r="BE35" s="31"/>
      <c r="BF35" s="19"/>
      <c r="BG35" s="31"/>
      <c r="BH35" s="31"/>
      <c r="BI35" s="31"/>
      <c r="BJ35" s="19"/>
      <c r="BK35" s="31"/>
      <c r="BL35" s="31"/>
      <c r="BM35" s="31"/>
      <c r="BN35" s="19"/>
      <c r="BO35" s="31"/>
      <c r="BP35" s="31"/>
      <c r="BQ35" s="31"/>
      <c r="BR35" s="19"/>
      <c r="BS35" s="31"/>
      <c r="BT35" s="31"/>
      <c r="BU35" s="31"/>
      <c r="BV35" s="19"/>
      <c r="BW35" s="31"/>
      <c r="BX35" s="31"/>
      <c r="BY35" s="31"/>
      <c r="BZ35" s="19"/>
      <c r="CA35" s="31"/>
      <c r="CB35" s="31"/>
      <c r="CC35" s="31"/>
      <c r="CD35" s="19"/>
      <c r="CE35" s="31"/>
      <c r="CF35" s="31"/>
      <c r="CG35" s="31"/>
      <c r="CH35" s="19"/>
      <c r="CI35" s="31"/>
      <c r="CJ35" s="31"/>
      <c r="CK35" s="31"/>
      <c r="CL35" s="19"/>
      <c r="CM35" s="31"/>
      <c r="CN35" s="31"/>
      <c r="CO35" s="31"/>
      <c r="CP35" s="19"/>
      <c r="CQ35" s="31"/>
      <c r="CR35" s="31"/>
      <c r="CS35" s="31"/>
      <c r="CT35" s="19"/>
      <c r="CU35" s="31"/>
      <c r="CV35" s="31"/>
      <c r="CW35" s="31"/>
      <c r="CX35" s="19"/>
      <c r="CY35" s="31"/>
      <c r="CZ35" s="31"/>
      <c r="DA35" s="31"/>
      <c r="DB35" s="34" t="s">
        <v>439</v>
      </c>
      <c r="DC35" s="31"/>
      <c r="DD35" s="31"/>
      <c r="DE35" s="31"/>
      <c r="DF35" s="19"/>
      <c r="DG35" s="31"/>
      <c r="DH35" s="31"/>
      <c r="DI35" s="31"/>
      <c r="DJ35" s="19"/>
      <c r="DK35" s="31"/>
      <c r="DL35" s="31"/>
      <c r="DM35" s="31"/>
      <c r="DN35" s="19"/>
      <c r="DO35" s="31"/>
      <c r="DP35" s="31"/>
      <c r="DQ35" s="31"/>
      <c r="DR35" s="19"/>
      <c r="DS35" s="31"/>
      <c r="DT35" s="31"/>
      <c r="DU35" s="31"/>
      <c r="DV35" s="19"/>
      <c r="DW35" s="31"/>
      <c r="DX35" s="31"/>
      <c r="DY35" s="31"/>
      <c r="DZ35" s="19"/>
      <c r="EA35" s="31"/>
      <c r="EB35" s="31"/>
      <c r="EC35" s="31"/>
    </row>
    <row r="36" spans="2:133" x14ac:dyDescent="0.25">
      <c r="B36" s="33"/>
      <c r="C36" s="31"/>
      <c r="D36" s="31"/>
      <c r="E36" s="31"/>
      <c r="F36" s="19"/>
      <c r="G36" s="31"/>
      <c r="H36" s="31"/>
      <c r="I36" s="31"/>
      <c r="J36" s="19"/>
      <c r="K36" s="31"/>
      <c r="L36" s="31"/>
      <c r="M36" s="31"/>
      <c r="N36" s="19"/>
      <c r="O36" s="31"/>
      <c r="P36" s="31"/>
      <c r="Q36" s="31"/>
      <c r="R36" s="19"/>
      <c r="S36" s="31"/>
      <c r="T36" s="31"/>
      <c r="U36" s="31"/>
      <c r="V36" s="19"/>
      <c r="W36" s="31"/>
      <c r="X36" s="31"/>
      <c r="Y36" s="31"/>
      <c r="Z36" s="19"/>
      <c r="AA36" s="31"/>
      <c r="AB36" s="31"/>
      <c r="AC36" s="31"/>
      <c r="AD36" s="19"/>
      <c r="AE36" s="31"/>
      <c r="AF36" s="31"/>
      <c r="AG36" s="31"/>
      <c r="AH36" s="19"/>
      <c r="AI36" s="31"/>
      <c r="AJ36" s="31"/>
      <c r="AK36" s="31"/>
      <c r="AL36" s="19"/>
      <c r="AM36" s="31"/>
      <c r="AN36" s="31"/>
      <c r="AO36" s="31"/>
      <c r="AP36" s="19"/>
      <c r="AQ36" s="31"/>
      <c r="AR36" s="31"/>
      <c r="AS36" s="31"/>
      <c r="AT36" s="19"/>
      <c r="AU36" s="31"/>
      <c r="AV36" s="31"/>
      <c r="AW36" s="31"/>
      <c r="AX36" s="19"/>
      <c r="AY36" s="31"/>
      <c r="AZ36" s="31"/>
      <c r="BA36" s="31"/>
      <c r="BB36" s="19"/>
      <c r="BC36" s="31"/>
      <c r="BD36" s="31"/>
      <c r="BE36" s="31"/>
      <c r="BF36" s="19"/>
      <c r="BG36" s="31"/>
      <c r="BH36" s="31"/>
      <c r="BI36" s="31"/>
      <c r="BJ36" s="19"/>
      <c r="BK36" s="31"/>
      <c r="BL36" s="31"/>
      <c r="BM36" s="31"/>
      <c r="BN36" s="19"/>
      <c r="BO36" s="31"/>
      <c r="BP36" s="31"/>
      <c r="BQ36" s="31"/>
      <c r="BR36" s="19"/>
      <c r="BS36" s="31"/>
      <c r="BT36" s="31"/>
      <c r="BU36" s="31"/>
      <c r="BV36" s="19"/>
      <c r="BW36" s="31"/>
      <c r="BX36" s="31"/>
      <c r="BY36" s="31"/>
      <c r="BZ36" s="19"/>
      <c r="CA36" s="31"/>
      <c r="CB36" s="31"/>
      <c r="CC36" s="31"/>
      <c r="CD36" s="19"/>
      <c r="CE36" s="31"/>
      <c r="CF36" s="31"/>
      <c r="CG36" s="31"/>
      <c r="CH36" s="19"/>
      <c r="CI36" s="31"/>
      <c r="CJ36" s="31"/>
      <c r="CK36" s="31"/>
      <c r="CL36" s="19"/>
      <c r="CM36" s="31"/>
      <c r="CN36" s="31"/>
      <c r="CO36" s="31"/>
      <c r="CP36" s="19"/>
      <c r="CQ36" s="31"/>
      <c r="CR36" s="31"/>
      <c r="CS36" s="31"/>
      <c r="CT36" s="19"/>
      <c r="CU36" s="31"/>
      <c r="CV36" s="31"/>
      <c r="CW36" s="31"/>
      <c r="CX36" s="19"/>
      <c r="CY36" s="31"/>
      <c r="CZ36" s="31"/>
      <c r="DA36" s="31"/>
      <c r="DB36" s="34" t="s">
        <v>138</v>
      </c>
      <c r="DC36" s="31"/>
      <c r="DD36" s="31"/>
      <c r="DE36" s="31"/>
      <c r="DF36" s="19"/>
      <c r="DG36" s="31"/>
      <c r="DH36" s="31"/>
      <c r="DI36" s="31"/>
      <c r="DJ36" s="19"/>
      <c r="DK36" s="31"/>
      <c r="DL36" s="31"/>
      <c r="DM36" s="31"/>
      <c r="DN36" s="19"/>
      <c r="DO36" s="31"/>
      <c r="DP36" s="31"/>
      <c r="DQ36" s="31"/>
      <c r="DR36" s="19"/>
      <c r="DS36" s="31"/>
      <c r="DT36" s="31"/>
      <c r="DU36" s="31"/>
      <c r="DV36" s="19"/>
      <c r="DW36" s="31"/>
      <c r="DX36" s="31"/>
      <c r="DY36" s="31"/>
      <c r="DZ36" s="19"/>
      <c r="EA36" s="31"/>
      <c r="EB36" s="31"/>
      <c r="EC36" s="31"/>
    </row>
    <row r="37" spans="2:133" x14ac:dyDescent="0.25">
      <c r="B37" s="33"/>
      <c r="C37" s="31"/>
      <c r="D37" s="31"/>
      <c r="E37" s="31"/>
      <c r="F37" s="19"/>
      <c r="G37" s="31"/>
      <c r="H37" s="31"/>
      <c r="I37" s="31"/>
      <c r="J37" s="19"/>
      <c r="K37" s="31"/>
      <c r="L37" s="31"/>
      <c r="M37" s="31"/>
      <c r="N37" s="19"/>
      <c r="O37" s="31"/>
      <c r="P37" s="31"/>
      <c r="Q37" s="31"/>
      <c r="R37" s="19"/>
      <c r="S37" s="31"/>
      <c r="T37" s="31"/>
      <c r="U37" s="31"/>
      <c r="V37" s="19"/>
      <c r="W37" s="31"/>
      <c r="X37" s="31"/>
      <c r="Y37" s="31"/>
      <c r="Z37" s="19"/>
      <c r="AA37" s="31"/>
      <c r="AB37" s="31"/>
      <c r="AC37" s="31"/>
      <c r="AD37" s="19"/>
      <c r="AE37" s="31"/>
      <c r="AF37" s="31"/>
      <c r="AG37" s="31"/>
      <c r="AH37" s="19"/>
      <c r="AI37" s="31"/>
      <c r="AJ37" s="31"/>
      <c r="AK37" s="31"/>
      <c r="AL37" s="19"/>
      <c r="AM37" s="31"/>
      <c r="AN37" s="31"/>
      <c r="AO37" s="31"/>
      <c r="AP37" s="19"/>
      <c r="AQ37" s="31"/>
      <c r="AR37" s="31"/>
      <c r="AS37" s="31"/>
      <c r="AT37" s="19"/>
      <c r="AU37" s="31"/>
      <c r="AV37" s="31"/>
      <c r="AW37" s="31"/>
      <c r="AX37" s="19"/>
      <c r="AY37" s="31"/>
      <c r="AZ37" s="31"/>
      <c r="BA37" s="31"/>
      <c r="BB37" s="19"/>
      <c r="BC37" s="31"/>
      <c r="BD37" s="31"/>
      <c r="BE37" s="31"/>
      <c r="BF37" s="19"/>
      <c r="BG37" s="31"/>
      <c r="BH37" s="31"/>
      <c r="BI37" s="31"/>
      <c r="BJ37" s="19"/>
      <c r="BK37" s="31"/>
      <c r="BL37" s="31"/>
      <c r="BM37" s="31"/>
      <c r="BN37" s="19"/>
      <c r="BO37" s="31"/>
      <c r="BP37" s="31"/>
      <c r="BQ37" s="31"/>
      <c r="BR37" s="19"/>
      <c r="BS37" s="31"/>
      <c r="BT37" s="31"/>
      <c r="BU37" s="31"/>
      <c r="BV37" s="19"/>
      <c r="BW37" s="31"/>
      <c r="BX37" s="31"/>
      <c r="BY37" s="31"/>
      <c r="BZ37" s="19"/>
      <c r="CA37" s="31"/>
      <c r="CB37" s="31"/>
      <c r="CC37" s="31"/>
      <c r="CD37" s="19"/>
      <c r="CE37" s="31"/>
      <c r="CF37" s="31"/>
      <c r="CG37" s="31"/>
      <c r="CH37" s="19"/>
      <c r="CI37" s="31"/>
      <c r="CJ37" s="31"/>
      <c r="CK37" s="31"/>
      <c r="CL37" s="19"/>
      <c r="CM37" s="31"/>
      <c r="CN37" s="31"/>
      <c r="CO37" s="31"/>
      <c r="CP37" s="19"/>
      <c r="CQ37" s="31"/>
      <c r="CR37" s="31"/>
      <c r="CS37" s="31"/>
      <c r="CT37" s="19"/>
      <c r="CU37" s="31"/>
      <c r="CV37" s="31"/>
      <c r="CW37" s="31"/>
      <c r="CX37" s="19"/>
      <c r="CY37" s="31"/>
      <c r="CZ37" s="31"/>
      <c r="DA37" s="31"/>
      <c r="DB37" s="34" t="s">
        <v>142</v>
      </c>
      <c r="DC37" s="31"/>
      <c r="DD37" s="31"/>
      <c r="DE37" s="31"/>
      <c r="DF37" s="19"/>
      <c r="DG37" s="31"/>
      <c r="DH37" s="31"/>
      <c r="DI37" s="31"/>
      <c r="DJ37" s="19"/>
      <c r="DK37" s="31"/>
      <c r="DL37" s="31"/>
      <c r="DM37" s="31"/>
      <c r="DN37" s="19"/>
      <c r="DO37" s="31"/>
      <c r="DP37" s="31"/>
      <c r="DQ37" s="31"/>
      <c r="DR37" s="19"/>
      <c r="DS37" s="31"/>
      <c r="DT37" s="31"/>
      <c r="DU37" s="31"/>
      <c r="DV37" s="19"/>
      <c r="DW37" s="31"/>
      <c r="DX37" s="31"/>
      <c r="DY37" s="31"/>
      <c r="DZ37" s="19"/>
      <c r="EA37" s="31"/>
      <c r="EB37" s="31"/>
      <c r="EC37" s="31"/>
    </row>
    <row r="38" spans="2:133" x14ac:dyDescent="0.25">
      <c r="B38" s="33"/>
      <c r="C38" s="31"/>
      <c r="D38" s="31"/>
      <c r="E38" s="31"/>
      <c r="F38" s="19"/>
      <c r="G38" s="31"/>
      <c r="H38" s="31"/>
      <c r="I38" s="31"/>
      <c r="J38" s="19"/>
      <c r="K38" s="31"/>
      <c r="L38" s="31"/>
      <c r="M38" s="31"/>
      <c r="N38" s="19"/>
      <c r="O38" s="31"/>
      <c r="P38" s="31"/>
      <c r="Q38" s="31"/>
      <c r="R38" s="19"/>
      <c r="S38" s="31"/>
      <c r="T38" s="31"/>
      <c r="U38" s="31"/>
      <c r="V38" s="19"/>
      <c r="W38" s="31"/>
      <c r="X38" s="31"/>
      <c r="Y38" s="31"/>
      <c r="Z38" s="19"/>
      <c r="AA38" s="31"/>
      <c r="AB38" s="31"/>
      <c r="AC38" s="31"/>
      <c r="AD38" s="19"/>
      <c r="AE38" s="31"/>
      <c r="AF38" s="31"/>
      <c r="AG38" s="31"/>
      <c r="AH38" s="19"/>
      <c r="AI38" s="31"/>
      <c r="AJ38" s="31"/>
      <c r="AK38" s="31"/>
      <c r="AL38" s="19"/>
      <c r="AM38" s="31"/>
      <c r="AN38" s="31"/>
      <c r="AO38" s="31"/>
      <c r="AP38" s="19"/>
      <c r="AQ38" s="31"/>
      <c r="AR38" s="31"/>
      <c r="AS38" s="31"/>
      <c r="AT38" s="19"/>
      <c r="AU38" s="31"/>
      <c r="AV38" s="31"/>
      <c r="AW38" s="31"/>
      <c r="AX38" s="19"/>
      <c r="AY38" s="31"/>
      <c r="AZ38" s="31"/>
      <c r="BA38" s="31"/>
      <c r="BB38" s="19"/>
      <c r="BC38" s="31"/>
      <c r="BD38" s="31"/>
      <c r="BE38" s="31"/>
      <c r="BF38" s="19"/>
      <c r="BG38" s="31"/>
      <c r="BH38" s="31"/>
      <c r="BI38" s="31"/>
      <c r="BJ38" s="19"/>
      <c r="BK38" s="31"/>
      <c r="BL38" s="31"/>
      <c r="BM38" s="31"/>
      <c r="BN38" s="19"/>
      <c r="BO38" s="31"/>
      <c r="BP38" s="31"/>
      <c r="BQ38" s="31"/>
      <c r="BR38" s="19"/>
      <c r="BS38" s="31"/>
      <c r="BT38" s="31"/>
      <c r="BU38" s="31"/>
      <c r="BV38" s="19"/>
      <c r="BW38" s="31"/>
      <c r="BX38" s="31"/>
      <c r="BY38" s="31"/>
      <c r="BZ38" s="19"/>
      <c r="CA38" s="31"/>
      <c r="CB38" s="31"/>
      <c r="CC38" s="31"/>
      <c r="CD38" s="19"/>
      <c r="CE38" s="31"/>
      <c r="CF38" s="31"/>
      <c r="CG38" s="31"/>
      <c r="CH38" s="19"/>
      <c r="CI38" s="31"/>
      <c r="CJ38" s="31"/>
      <c r="CK38" s="31"/>
      <c r="CL38" s="19"/>
      <c r="CM38" s="31"/>
      <c r="CN38" s="31"/>
      <c r="CO38" s="31"/>
      <c r="CP38" s="19"/>
      <c r="CQ38" s="31"/>
      <c r="CR38" s="31"/>
      <c r="CS38" s="31"/>
      <c r="CT38" s="19"/>
      <c r="CU38" s="31"/>
      <c r="CV38" s="31"/>
      <c r="CW38" s="31"/>
      <c r="CX38" s="19"/>
      <c r="CY38" s="31"/>
      <c r="CZ38" s="31"/>
      <c r="DA38" s="31"/>
      <c r="DB38" s="34" t="s">
        <v>62</v>
      </c>
      <c r="DC38" s="31"/>
      <c r="DD38" s="31"/>
      <c r="DE38" s="31"/>
      <c r="DF38" s="19"/>
      <c r="DG38" s="31"/>
      <c r="DH38" s="31"/>
      <c r="DI38" s="31"/>
      <c r="DJ38" s="19"/>
      <c r="DK38" s="31"/>
      <c r="DL38" s="31"/>
      <c r="DM38" s="31"/>
      <c r="DN38" s="19"/>
      <c r="DO38" s="31"/>
      <c r="DP38" s="31"/>
      <c r="DQ38" s="31"/>
      <c r="DR38" s="19"/>
      <c r="DS38" s="31"/>
      <c r="DT38" s="31"/>
      <c r="DU38" s="31"/>
      <c r="DV38" s="19"/>
      <c r="DW38" s="31"/>
      <c r="DX38" s="31"/>
      <c r="DY38" s="31"/>
      <c r="DZ38" s="19"/>
      <c r="EA38" s="31"/>
      <c r="EB38" s="31"/>
      <c r="EC38" s="31"/>
    </row>
    <row r="39" spans="2:133" x14ac:dyDescent="0.25">
      <c r="B39" s="33"/>
      <c r="C39" s="31"/>
      <c r="D39" s="31"/>
      <c r="E39" s="31"/>
      <c r="F39" s="19"/>
      <c r="G39" s="31"/>
      <c r="H39" s="31"/>
      <c r="I39" s="31"/>
      <c r="J39" s="19"/>
      <c r="K39" s="31"/>
      <c r="L39" s="31"/>
      <c r="M39" s="31"/>
      <c r="N39" s="19"/>
      <c r="O39" s="31"/>
      <c r="P39" s="31"/>
      <c r="Q39" s="31"/>
      <c r="R39" s="19"/>
      <c r="S39" s="31"/>
      <c r="T39" s="31"/>
      <c r="U39" s="31"/>
      <c r="V39" s="19"/>
      <c r="W39" s="31"/>
      <c r="X39" s="31"/>
      <c r="Y39" s="31"/>
      <c r="Z39" s="19"/>
      <c r="AA39" s="31"/>
      <c r="AB39" s="31"/>
      <c r="AC39" s="31"/>
      <c r="AD39" s="19"/>
      <c r="AE39" s="31"/>
      <c r="AF39" s="31"/>
      <c r="AG39" s="31"/>
      <c r="AH39" s="19"/>
      <c r="AI39" s="31"/>
      <c r="AJ39" s="31"/>
      <c r="AK39" s="31"/>
      <c r="AL39" s="19"/>
      <c r="AM39" s="31"/>
      <c r="AN39" s="31"/>
      <c r="AO39" s="31"/>
      <c r="AP39" s="19"/>
      <c r="AQ39" s="31"/>
      <c r="AR39" s="31"/>
      <c r="AS39" s="31"/>
      <c r="AT39" s="19"/>
      <c r="AU39" s="31"/>
      <c r="AV39" s="31"/>
      <c r="AW39" s="31"/>
      <c r="AX39" s="19"/>
      <c r="AY39" s="31"/>
      <c r="AZ39" s="31"/>
      <c r="BA39" s="31"/>
      <c r="BB39" s="19"/>
      <c r="BC39" s="31"/>
      <c r="BD39" s="31"/>
      <c r="BE39" s="31"/>
      <c r="BF39" s="19"/>
      <c r="BG39" s="31"/>
      <c r="BH39" s="31"/>
      <c r="BI39" s="31"/>
      <c r="BJ39" s="19"/>
      <c r="BK39" s="31"/>
      <c r="BL39" s="31"/>
      <c r="BM39" s="31"/>
      <c r="BN39" s="19"/>
      <c r="BO39" s="31"/>
      <c r="BP39" s="31"/>
      <c r="BQ39" s="31"/>
      <c r="BR39" s="19"/>
      <c r="BS39" s="31"/>
      <c r="BT39" s="31"/>
      <c r="BU39" s="31"/>
      <c r="BV39" s="19"/>
      <c r="BW39" s="31"/>
      <c r="BX39" s="31"/>
      <c r="BY39" s="31"/>
      <c r="BZ39" s="19"/>
      <c r="CA39" s="31"/>
      <c r="CB39" s="31"/>
      <c r="CC39" s="31"/>
      <c r="CD39" s="19"/>
      <c r="CE39" s="31"/>
      <c r="CF39" s="31"/>
      <c r="CG39" s="31"/>
      <c r="CH39" s="19"/>
      <c r="CI39" s="31"/>
      <c r="CJ39" s="31"/>
      <c r="CK39" s="31"/>
      <c r="CL39" s="19"/>
      <c r="CM39" s="31"/>
      <c r="CN39" s="31"/>
      <c r="CO39" s="31"/>
      <c r="CP39" s="19"/>
      <c r="CQ39" s="31"/>
      <c r="CR39" s="31"/>
      <c r="CS39" s="31"/>
      <c r="CT39" s="19"/>
      <c r="CU39" s="31"/>
      <c r="CV39" s="31"/>
      <c r="CW39" s="31"/>
      <c r="CX39" s="19"/>
      <c r="CY39" s="31"/>
      <c r="CZ39" s="31"/>
      <c r="DA39" s="31"/>
      <c r="DB39" s="34" t="s">
        <v>13</v>
      </c>
      <c r="DC39" s="31"/>
      <c r="DD39" s="31"/>
      <c r="DE39" s="31"/>
      <c r="DF39" s="19"/>
      <c r="DG39" s="31"/>
      <c r="DH39" s="31"/>
      <c r="DI39" s="31"/>
      <c r="DJ39" s="19"/>
      <c r="DK39" s="31"/>
      <c r="DL39" s="31"/>
      <c r="DM39" s="31"/>
      <c r="DN39" s="19"/>
      <c r="DO39" s="31"/>
      <c r="DP39" s="31"/>
      <c r="DQ39" s="31"/>
      <c r="DR39" s="19"/>
      <c r="DS39" s="31"/>
      <c r="DT39" s="31"/>
      <c r="DU39" s="31"/>
      <c r="DV39" s="19"/>
      <c r="DW39" s="31"/>
      <c r="DX39" s="31"/>
      <c r="DY39" s="31"/>
      <c r="DZ39" s="19"/>
      <c r="EA39" s="31"/>
      <c r="EB39" s="31"/>
      <c r="EC39" s="31"/>
    </row>
    <row r="40" spans="2:133" x14ac:dyDescent="0.25">
      <c r="B40" s="33"/>
      <c r="C40" s="31"/>
      <c r="D40" s="31"/>
      <c r="E40" s="31"/>
      <c r="F40" s="19"/>
      <c r="G40" s="31"/>
      <c r="H40" s="31"/>
      <c r="I40" s="31"/>
      <c r="J40" s="19"/>
      <c r="K40" s="31"/>
      <c r="L40" s="31"/>
      <c r="M40" s="31"/>
      <c r="N40" s="19"/>
      <c r="O40" s="31"/>
      <c r="P40" s="31"/>
      <c r="Q40" s="31"/>
      <c r="R40" s="19"/>
      <c r="S40" s="31"/>
      <c r="T40" s="31"/>
      <c r="U40" s="31"/>
      <c r="V40" s="19"/>
      <c r="W40" s="31"/>
      <c r="X40" s="31"/>
      <c r="Y40" s="31"/>
      <c r="Z40" s="19"/>
      <c r="AA40" s="31"/>
      <c r="AB40" s="31"/>
      <c r="AC40" s="31"/>
      <c r="AD40" s="19"/>
      <c r="AE40" s="31"/>
      <c r="AF40" s="31"/>
      <c r="AG40" s="31"/>
      <c r="AH40" s="19"/>
      <c r="AI40" s="31"/>
      <c r="AJ40" s="31"/>
      <c r="AK40" s="31"/>
      <c r="AL40" s="19"/>
      <c r="AM40" s="31"/>
      <c r="AN40" s="31"/>
      <c r="AO40" s="31"/>
      <c r="AP40" s="19"/>
      <c r="AQ40" s="31"/>
      <c r="AR40" s="31"/>
      <c r="AS40" s="31"/>
      <c r="AT40" s="19"/>
      <c r="AU40" s="31"/>
      <c r="AV40" s="31"/>
      <c r="AW40" s="31"/>
      <c r="AX40" s="19"/>
      <c r="AY40" s="31"/>
      <c r="AZ40" s="31"/>
      <c r="BA40" s="31"/>
      <c r="BB40" s="19"/>
      <c r="BC40" s="31"/>
      <c r="BD40" s="31"/>
      <c r="BE40" s="31"/>
      <c r="BF40" s="19"/>
      <c r="BG40" s="31"/>
      <c r="BH40" s="31"/>
      <c r="BI40" s="31"/>
      <c r="BJ40" s="19"/>
      <c r="BK40" s="31"/>
      <c r="BL40" s="31"/>
      <c r="BM40" s="31"/>
      <c r="BN40" s="19"/>
      <c r="BO40" s="31"/>
      <c r="BP40" s="31"/>
      <c r="BQ40" s="31"/>
      <c r="BR40" s="19"/>
      <c r="BS40" s="31"/>
      <c r="BT40" s="31"/>
      <c r="BU40" s="31"/>
      <c r="BV40" s="19"/>
      <c r="BW40" s="31"/>
      <c r="BX40" s="31"/>
      <c r="BY40" s="31"/>
      <c r="BZ40" s="19"/>
      <c r="CA40" s="31"/>
      <c r="CB40" s="31"/>
      <c r="CC40" s="31"/>
      <c r="CD40" s="19"/>
      <c r="CE40" s="31"/>
      <c r="CF40" s="31"/>
      <c r="CG40" s="31"/>
      <c r="CH40" s="19"/>
      <c r="CI40" s="31"/>
      <c r="CJ40" s="31"/>
      <c r="CK40" s="31"/>
      <c r="CL40" s="19"/>
      <c r="CM40" s="31"/>
      <c r="CN40" s="31"/>
      <c r="CO40" s="31"/>
      <c r="CP40" s="19"/>
      <c r="CQ40" s="31"/>
      <c r="CR40" s="31"/>
      <c r="CS40" s="31"/>
      <c r="CT40" s="19"/>
      <c r="CU40" s="31"/>
      <c r="CV40" s="31"/>
      <c r="CW40" s="31"/>
      <c r="CX40" s="19"/>
      <c r="CY40" s="31"/>
      <c r="CZ40" s="31"/>
      <c r="DA40" s="31"/>
      <c r="DB40" s="36" t="s">
        <v>0</v>
      </c>
      <c r="DC40" s="31"/>
      <c r="DD40" s="31"/>
      <c r="DE40" s="31"/>
      <c r="DF40" s="19"/>
      <c r="DG40" s="31"/>
      <c r="DH40" s="31"/>
      <c r="DI40" s="31"/>
      <c r="DJ40" s="19"/>
      <c r="DK40" s="31"/>
      <c r="DL40" s="31"/>
      <c r="DM40" s="31"/>
      <c r="DN40" s="19"/>
      <c r="DO40" s="31"/>
      <c r="DP40" s="31"/>
      <c r="DQ40" s="31"/>
      <c r="DR40" s="19"/>
      <c r="DS40" s="31"/>
      <c r="DT40" s="31"/>
      <c r="DU40" s="31"/>
      <c r="DV40" s="19"/>
      <c r="DW40" s="31"/>
      <c r="DX40" s="31"/>
      <c r="DY40" s="31"/>
      <c r="DZ40" s="19"/>
      <c r="EA40" s="31"/>
      <c r="EB40" s="31"/>
      <c r="EC40" s="31"/>
    </row>
    <row r="41" spans="2:133" x14ac:dyDescent="0.25">
      <c r="AD41" s="19"/>
    </row>
  </sheetData>
  <pageMargins left="0.7" right="0.7" top="0.75" bottom="0.75" header="0.3" footer="0.3"/>
  <pageSetup orientation="portrait" r:id="rId1"/>
  <legacyDrawing r:id="rId2"/>
  <tableParts count="34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34</vt:i4>
      </vt:variant>
    </vt:vector>
  </HeadingPairs>
  <TitlesOfParts>
    <vt:vector size="37" baseType="lpstr">
      <vt:lpstr>Q_Stories</vt:lpstr>
      <vt:lpstr>Tables_Activities</vt:lpstr>
      <vt:lpstr>Tables_TechMap</vt:lpstr>
      <vt:lpstr>Category</vt:lpstr>
      <vt:lpstr>I01_Doc_generate</vt:lpstr>
      <vt:lpstr>I02_Workflow_engine</vt:lpstr>
      <vt:lpstr>I03_Agile_tracker</vt:lpstr>
      <vt:lpstr>I04_Chat</vt:lpstr>
      <vt:lpstr>I13_Datavisualization</vt:lpstr>
      <vt:lpstr>I14_Release_mgmt</vt:lpstr>
      <vt:lpstr>I17_Testauto_functional</vt:lpstr>
      <vt:lpstr>I18_Testauto_perf</vt:lpstr>
      <vt:lpstr>I19_Testauto_security</vt:lpstr>
      <vt:lpstr>I20_Testauto_UIUXmobile</vt:lpstr>
      <vt:lpstr>I21_Testdesign_TDDBDD</vt:lpstr>
      <vt:lpstr>I28_Service_workflow</vt:lpstr>
      <vt:lpstr>M05_Editor_IDE</vt:lpstr>
      <vt:lpstr>M06_Autocoding</vt:lpstr>
      <vt:lpstr>M07_Code_quality</vt:lpstr>
      <vt:lpstr>M08_Continuous_integration</vt:lpstr>
      <vt:lpstr>M09_Continuous_deploy</vt:lpstr>
      <vt:lpstr>M10_Sourcecode_repository</vt:lpstr>
      <vt:lpstr>M11_Binary_repository</vt:lpstr>
      <vt:lpstr>M12_Build_package</vt:lpstr>
      <vt:lpstr>M15_InVM_container_monitoring</vt:lpstr>
      <vt:lpstr>M16_Cluster_monitoring</vt:lpstr>
      <vt:lpstr>M22_Env_provision</vt:lpstr>
      <vt:lpstr>M23_VM_VMclustering</vt:lpstr>
      <vt:lpstr>M24_HCI</vt:lpstr>
      <vt:lpstr>M25_Cloud_mgmt</vt:lpstr>
      <vt:lpstr>M26_Container_clustering</vt:lpstr>
      <vt:lpstr>M27_Infra_consolidated</vt:lpstr>
      <vt:lpstr>M29_Bot_AI</vt:lpstr>
      <vt:lpstr>M30_Database_mgmt</vt:lpstr>
      <vt:lpstr>M31_BigData_mgmt</vt:lpstr>
      <vt:lpstr>M32_IntelIT_automate</vt:lpstr>
      <vt:lpstr>M33_Incident_autoresolve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Manas  Shome</cp:lastModifiedBy>
  <cp:lastPrinted>2018-04-03T11:21:04Z</cp:lastPrinted>
  <dcterms:created xsi:type="dcterms:W3CDTF">2017-10-21T18:23:06Z</dcterms:created>
  <dcterms:modified xsi:type="dcterms:W3CDTF">2018-04-03T11:21:39Z</dcterms:modified>
</cp:coreProperties>
</file>